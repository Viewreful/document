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gclab\Desktop\"/>
    </mc:Choice>
  </mc:AlternateContent>
  <bookViews>
    <workbookView xWindow="0" yWindow="0" windowWidth="25200" windowHeight="11715"/>
  </bookViews>
  <sheets>
    <sheet name="전체" sheetId="1" r:id="rId1"/>
    <sheet name="Sheet1" sheetId="2" r:id="rId2"/>
    <sheet name="Sheet1 (2)" sheetId="8" r:id="rId3"/>
    <sheet name="Sheet4" sheetId="9" r:id="rId4"/>
  </sheets>
  <externalReferences>
    <externalReference r:id="rId5"/>
  </externalReferences>
  <definedNames>
    <definedName name="_xlnm._FilterDatabase" localSheetId="1" hidden="1">Sheet1!$A$1:$AV$18</definedName>
    <definedName name="_xlnm._FilterDatabase" localSheetId="2" hidden="1">'Sheet1 (2)'!$A$1:$AV$18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8" l="1"/>
  <c r="B4" i="8" s="1"/>
  <c r="C6" i="8"/>
  <c r="B6" i="8"/>
  <c r="C12" i="8"/>
  <c r="B12" i="8" s="1"/>
  <c r="C3" i="8"/>
  <c r="B3" i="8"/>
  <c r="C9" i="8"/>
  <c r="B9" i="8" s="1"/>
  <c r="C11" i="8"/>
  <c r="B11" i="8"/>
  <c r="C7" i="8"/>
  <c r="B7" i="8" s="1"/>
  <c r="C10" i="8"/>
  <c r="B10" i="8"/>
  <c r="C5" i="8"/>
  <c r="B5" i="8" s="1"/>
  <c r="C8" i="8"/>
  <c r="B8" i="8"/>
  <c r="AG2" i="8"/>
  <c r="J2" i="8"/>
  <c r="U2" i="8"/>
  <c r="V2" i="8"/>
  <c r="Z2" i="8"/>
  <c r="R2" i="8"/>
  <c r="AW2" i="8"/>
  <c r="AA2" i="8"/>
  <c r="H2" i="8"/>
  <c r="W2" i="8"/>
  <c r="AV2" i="8"/>
  <c r="AI2" i="8"/>
  <c r="AF2" i="8"/>
  <c r="AM2" i="8"/>
  <c r="AL2" i="8"/>
  <c r="AP2" i="8"/>
  <c r="I2" i="8"/>
  <c r="D2" i="8"/>
  <c r="AO2" i="8"/>
  <c r="P2" i="8"/>
  <c r="AE2" i="8"/>
  <c r="G2" i="8"/>
  <c r="AX2" i="8"/>
  <c r="AN2" i="8"/>
  <c r="AY2" i="8"/>
  <c r="M2" i="8"/>
  <c r="AC2" i="8"/>
  <c r="L2" i="8"/>
  <c r="AR2" i="8"/>
  <c r="F2" i="8"/>
  <c r="AJ2" i="8"/>
  <c r="AH2" i="8"/>
  <c r="Q2" i="8"/>
  <c r="N2" i="8"/>
  <c r="AT2" i="8"/>
  <c r="AQ2" i="8"/>
  <c r="AS2" i="8"/>
  <c r="K2" i="8"/>
  <c r="AB2" i="8"/>
  <c r="AD2" i="8"/>
  <c r="AU2" i="8"/>
  <c r="Y2" i="8"/>
  <c r="X2" i="8"/>
  <c r="AK2" i="8"/>
  <c r="E2" i="8"/>
  <c r="S2" i="8"/>
  <c r="O2" i="8"/>
  <c r="T2" i="8"/>
  <c r="C278" i="8"/>
  <c r="C277" i="8"/>
  <c r="B277" i="8" s="1"/>
  <c r="C276" i="8"/>
  <c r="B276" i="8" s="1"/>
  <c r="C275" i="8"/>
  <c r="B275" i="8" s="1"/>
  <c r="C274" i="8"/>
  <c r="B274" i="8" s="1"/>
  <c r="C273" i="8"/>
  <c r="B273" i="8" s="1"/>
  <c r="C272" i="8"/>
  <c r="B272" i="8" s="1"/>
  <c r="C271" i="8"/>
  <c r="B271" i="8" s="1"/>
  <c r="C270" i="8"/>
  <c r="B270" i="8" s="1"/>
  <c r="C269" i="8"/>
  <c r="B269" i="8" s="1"/>
  <c r="C268" i="8"/>
  <c r="B268" i="8" s="1"/>
  <c r="C267" i="8"/>
  <c r="B267" i="8" s="1"/>
  <c r="C266" i="8"/>
  <c r="B266" i="8" s="1"/>
  <c r="C265" i="8"/>
  <c r="B265" i="8" s="1"/>
  <c r="C264" i="8"/>
  <c r="B264" i="8" s="1"/>
  <c r="C263" i="8"/>
  <c r="B263" i="8" s="1"/>
  <c r="C262" i="8"/>
  <c r="B262" i="8" s="1"/>
  <c r="C261" i="8"/>
  <c r="B261" i="8" s="1"/>
  <c r="C260" i="8"/>
  <c r="B260" i="8" s="1"/>
  <c r="C259" i="8"/>
  <c r="B259" i="8" s="1"/>
  <c r="C258" i="8"/>
  <c r="B258" i="8" s="1"/>
  <c r="C257" i="8"/>
  <c r="B257" i="8" s="1"/>
  <c r="C256" i="8"/>
  <c r="B256" i="8" s="1"/>
  <c r="C255" i="8"/>
  <c r="B255" i="8" s="1"/>
  <c r="C254" i="8"/>
  <c r="B254" i="8" s="1"/>
  <c r="C253" i="8"/>
  <c r="B253" i="8" s="1"/>
  <c r="C252" i="8"/>
  <c r="B252" i="8" s="1"/>
  <c r="C251" i="8"/>
  <c r="B251" i="8" s="1"/>
  <c r="C250" i="8"/>
  <c r="B250" i="8" s="1"/>
  <c r="C249" i="8"/>
  <c r="B249" i="8" s="1"/>
  <c r="C248" i="8"/>
  <c r="B248" i="8" s="1"/>
  <c r="AG247" i="8"/>
  <c r="J247" i="8"/>
  <c r="U247" i="8"/>
  <c r="V247" i="8"/>
  <c r="Z247" i="8"/>
  <c r="R247" i="8"/>
  <c r="AW247" i="8"/>
  <c r="AA247" i="8"/>
  <c r="H247" i="8"/>
  <c r="W247" i="8"/>
  <c r="AV247" i="8"/>
  <c r="AI247" i="8"/>
  <c r="AF247" i="8"/>
  <c r="AM247" i="8"/>
  <c r="AL247" i="8"/>
  <c r="AP247" i="8"/>
  <c r="I247" i="8"/>
  <c r="D247" i="8"/>
  <c r="AO247" i="8"/>
  <c r="P247" i="8"/>
  <c r="AE247" i="8"/>
  <c r="G247" i="8"/>
  <c r="AX247" i="8"/>
  <c r="AN247" i="8"/>
  <c r="AY247" i="8"/>
  <c r="M247" i="8"/>
  <c r="AC247" i="8"/>
  <c r="L247" i="8"/>
  <c r="AR247" i="8"/>
  <c r="F247" i="8"/>
  <c r="AJ247" i="8"/>
  <c r="AH247" i="8"/>
  <c r="Q247" i="8"/>
  <c r="N247" i="8"/>
  <c r="AT247" i="8"/>
  <c r="AQ247" i="8"/>
  <c r="AS247" i="8"/>
  <c r="K247" i="8"/>
  <c r="AB247" i="8"/>
  <c r="AD247" i="8"/>
  <c r="AU247" i="8"/>
  <c r="Y247" i="8"/>
  <c r="X247" i="8"/>
  <c r="AK247" i="8"/>
  <c r="E247" i="8"/>
  <c r="S247" i="8"/>
  <c r="O247" i="8"/>
  <c r="T247" i="8"/>
  <c r="C246" i="8"/>
  <c r="B246" i="8" s="1"/>
  <c r="C236" i="8"/>
  <c r="B236" i="8" s="1"/>
  <c r="C245" i="8"/>
  <c r="B245" i="8" s="1"/>
  <c r="C244" i="8"/>
  <c r="B244" i="8" s="1"/>
  <c r="C243" i="8"/>
  <c r="B243" i="8" s="1"/>
  <c r="C242" i="8"/>
  <c r="B242" i="8" s="1"/>
  <c r="C241" i="8"/>
  <c r="B241" i="8" s="1"/>
  <c r="C240" i="8"/>
  <c r="B240" i="8" s="1"/>
  <c r="C239" i="8"/>
  <c r="B239" i="8" s="1"/>
  <c r="C238" i="8"/>
  <c r="B238" i="8" s="1"/>
  <c r="C237" i="8"/>
  <c r="B237" i="8" s="1"/>
  <c r="C234" i="8"/>
  <c r="B234" i="8" s="1"/>
  <c r="C235" i="8"/>
  <c r="B235" i="8" s="1"/>
  <c r="AG233" i="8"/>
  <c r="J233" i="8"/>
  <c r="U233" i="8"/>
  <c r="V233" i="8"/>
  <c r="Z233" i="8"/>
  <c r="R233" i="8"/>
  <c r="AW233" i="8"/>
  <c r="AA233" i="8"/>
  <c r="H233" i="8"/>
  <c r="W233" i="8"/>
  <c r="AV233" i="8"/>
  <c r="AI233" i="8"/>
  <c r="AF233" i="8"/>
  <c r="AM233" i="8"/>
  <c r="AL233" i="8"/>
  <c r="AP233" i="8"/>
  <c r="I233" i="8"/>
  <c r="D233" i="8"/>
  <c r="AO233" i="8"/>
  <c r="P233" i="8"/>
  <c r="AE233" i="8"/>
  <c r="G233" i="8"/>
  <c r="AX233" i="8"/>
  <c r="AN233" i="8"/>
  <c r="AY233" i="8"/>
  <c r="M233" i="8"/>
  <c r="AC233" i="8"/>
  <c r="L233" i="8"/>
  <c r="AR233" i="8"/>
  <c r="F233" i="8"/>
  <c r="AJ233" i="8"/>
  <c r="AH233" i="8"/>
  <c r="Q233" i="8"/>
  <c r="N233" i="8"/>
  <c r="AT233" i="8"/>
  <c r="AQ233" i="8"/>
  <c r="AS233" i="8"/>
  <c r="K233" i="8"/>
  <c r="AB233" i="8"/>
  <c r="AD233" i="8"/>
  <c r="AU233" i="8"/>
  <c r="Y233" i="8"/>
  <c r="X233" i="8"/>
  <c r="AK233" i="8"/>
  <c r="E233" i="8"/>
  <c r="S233" i="8"/>
  <c r="O233" i="8"/>
  <c r="T233" i="8"/>
  <c r="C232" i="8"/>
  <c r="B232" i="8" s="1"/>
  <c r="C231" i="8"/>
  <c r="B231" i="8" s="1"/>
  <c r="C230" i="8"/>
  <c r="B230" i="8" s="1"/>
  <c r="C229" i="8"/>
  <c r="B229" i="8" s="1"/>
  <c r="C228" i="8"/>
  <c r="B228" i="8" s="1"/>
  <c r="C227" i="8"/>
  <c r="B227" i="8" s="1"/>
  <c r="C226" i="8"/>
  <c r="B226" i="8" s="1"/>
  <c r="C225" i="8"/>
  <c r="B225" i="8" s="1"/>
  <c r="C224" i="8"/>
  <c r="B224" i="8" s="1"/>
  <c r="C223" i="8"/>
  <c r="B223" i="8" s="1"/>
  <c r="C222" i="8"/>
  <c r="B222" i="8" s="1"/>
  <c r="C221" i="8"/>
  <c r="B221" i="8" s="1"/>
  <c r="C220" i="8"/>
  <c r="B220" i="8" s="1"/>
  <c r="C219" i="8"/>
  <c r="B219" i="8" s="1"/>
  <c r="C218" i="8"/>
  <c r="B218" i="8" s="1"/>
  <c r="C217" i="8"/>
  <c r="B217" i="8" s="1"/>
  <c r="C216" i="8"/>
  <c r="B216" i="8" s="1"/>
  <c r="C215" i="8"/>
  <c r="B215" i="8" s="1"/>
  <c r="C214" i="8"/>
  <c r="B214" i="8" s="1"/>
  <c r="C213" i="8"/>
  <c r="B213" i="8" s="1"/>
  <c r="C212" i="8"/>
  <c r="B212" i="8" s="1"/>
  <c r="C211" i="8"/>
  <c r="B211" i="8" s="1"/>
  <c r="C210" i="8"/>
  <c r="B210" i="8" s="1"/>
  <c r="C209" i="8"/>
  <c r="B209" i="8" s="1"/>
  <c r="C208" i="8"/>
  <c r="B208" i="8" s="1"/>
  <c r="C207" i="8"/>
  <c r="B207" i="8" s="1"/>
  <c r="C206" i="8"/>
  <c r="B206" i="8" s="1"/>
  <c r="C205" i="8"/>
  <c r="B205" i="8" s="1"/>
  <c r="C204" i="8"/>
  <c r="B204" i="8" s="1"/>
  <c r="C203" i="8"/>
  <c r="B203" i="8" s="1"/>
  <c r="C202" i="8"/>
  <c r="B202" i="8" s="1"/>
  <c r="C201" i="8"/>
  <c r="B201" i="8" s="1"/>
  <c r="C200" i="8"/>
  <c r="B200" i="8" s="1"/>
  <c r="C199" i="8"/>
  <c r="B199" i="8" s="1"/>
  <c r="C198" i="8"/>
  <c r="B198" i="8" s="1"/>
  <c r="C197" i="8"/>
  <c r="B197" i="8" s="1"/>
  <c r="C196" i="8"/>
  <c r="B196" i="8" s="1"/>
  <c r="AG195" i="8"/>
  <c r="J195" i="8"/>
  <c r="U195" i="8"/>
  <c r="V195" i="8"/>
  <c r="Z195" i="8"/>
  <c r="R195" i="8"/>
  <c r="AW195" i="8"/>
  <c r="AA195" i="8"/>
  <c r="H195" i="8"/>
  <c r="W195" i="8"/>
  <c r="AV195" i="8"/>
  <c r="AI195" i="8"/>
  <c r="AF195" i="8"/>
  <c r="AM195" i="8"/>
  <c r="AL195" i="8"/>
  <c r="AP195" i="8"/>
  <c r="I195" i="8"/>
  <c r="D195" i="8"/>
  <c r="AO195" i="8"/>
  <c r="P195" i="8"/>
  <c r="AE195" i="8"/>
  <c r="G195" i="8"/>
  <c r="AX195" i="8"/>
  <c r="AN195" i="8"/>
  <c r="AY195" i="8"/>
  <c r="M195" i="8"/>
  <c r="AC195" i="8"/>
  <c r="L195" i="8"/>
  <c r="AR195" i="8"/>
  <c r="F195" i="8"/>
  <c r="AJ195" i="8"/>
  <c r="AH195" i="8"/>
  <c r="Q195" i="8"/>
  <c r="N195" i="8"/>
  <c r="AT195" i="8"/>
  <c r="AQ195" i="8"/>
  <c r="AS195" i="8"/>
  <c r="K195" i="8"/>
  <c r="AB195" i="8"/>
  <c r="AD195" i="8"/>
  <c r="AU195" i="8"/>
  <c r="Y195" i="8"/>
  <c r="X195" i="8"/>
  <c r="AK195" i="8"/>
  <c r="E195" i="8"/>
  <c r="S195" i="8"/>
  <c r="O195" i="8"/>
  <c r="T195" i="8"/>
  <c r="C194" i="8"/>
  <c r="B194" i="8" s="1"/>
  <c r="C193" i="8"/>
  <c r="B193" i="8" s="1"/>
  <c r="C192" i="8"/>
  <c r="B192" i="8" s="1"/>
  <c r="C181" i="8"/>
  <c r="B181" i="8" s="1"/>
  <c r="C191" i="8"/>
  <c r="B191" i="8" s="1"/>
  <c r="C190" i="8"/>
  <c r="B190" i="8" s="1"/>
  <c r="C189" i="8"/>
  <c r="B189" i="8" s="1"/>
  <c r="C188" i="8"/>
  <c r="B188" i="8" s="1"/>
  <c r="C187" i="8"/>
  <c r="B187" i="8" s="1"/>
  <c r="C186" i="8"/>
  <c r="B186" i="8" s="1"/>
  <c r="C185" i="8"/>
  <c r="B185" i="8" s="1"/>
  <c r="C184" i="8"/>
  <c r="B184" i="8" s="1"/>
  <c r="C183" i="8"/>
  <c r="B183" i="8" s="1"/>
  <c r="C182" i="8"/>
  <c r="B182" i="8" s="1"/>
  <c r="AG180" i="8"/>
  <c r="J180" i="8"/>
  <c r="U180" i="8"/>
  <c r="V180" i="8"/>
  <c r="Z180" i="8"/>
  <c r="R180" i="8"/>
  <c r="AW180" i="8"/>
  <c r="AA180" i="8"/>
  <c r="H180" i="8"/>
  <c r="W180" i="8"/>
  <c r="AV180" i="8"/>
  <c r="AI180" i="8"/>
  <c r="AF180" i="8"/>
  <c r="AM180" i="8"/>
  <c r="AL180" i="8"/>
  <c r="AP180" i="8"/>
  <c r="I180" i="8"/>
  <c r="D180" i="8"/>
  <c r="AO180" i="8"/>
  <c r="P180" i="8"/>
  <c r="AE180" i="8"/>
  <c r="G180" i="8"/>
  <c r="AX180" i="8"/>
  <c r="AN180" i="8"/>
  <c r="AY180" i="8"/>
  <c r="M180" i="8"/>
  <c r="AC180" i="8"/>
  <c r="L180" i="8"/>
  <c r="AR180" i="8"/>
  <c r="F180" i="8"/>
  <c r="AJ180" i="8"/>
  <c r="AH180" i="8"/>
  <c r="Q180" i="8"/>
  <c r="N180" i="8"/>
  <c r="AT180" i="8"/>
  <c r="AQ180" i="8"/>
  <c r="AS180" i="8"/>
  <c r="K180" i="8"/>
  <c r="AB180" i="8"/>
  <c r="AD180" i="8"/>
  <c r="AU180" i="8"/>
  <c r="Y180" i="8"/>
  <c r="X180" i="8"/>
  <c r="AK180" i="8"/>
  <c r="E180" i="8"/>
  <c r="S180" i="8"/>
  <c r="O180" i="8"/>
  <c r="T180" i="8"/>
  <c r="C179" i="8"/>
  <c r="B179" i="8" s="1"/>
  <c r="C178" i="8"/>
  <c r="B178" i="8" s="1"/>
  <c r="C177" i="8"/>
  <c r="B177" i="8" s="1"/>
  <c r="C176" i="8"/>
  <c r="B176" i="8" s="1"/>
  <c r="C175" i="8"/>
  <c r="B175" i="8" s="1"/>
  <c r="C174" i="8"/>
  <c r="B174" i="8" s="1"/>
  <c r="C173" i="8"/>
  <c r="B173" i="8" s="1"/>
  <c r="C172" i="8"/>
  <c r="B172" i="8" s="1"/>
  <c r="C171" i="8"/>
  <c r="B171" i="8" s="1"/>
  <c r="C170" i="8"/>
  <c r="B170" i="8" s="1"/>
  <c r="C169" i="8"/>
  <c r="B169" i="8" s="1"/>
  <c r="C168" i="8"/>
  <c r="B168" i="8" s="1"/>
  <c r="C167" i="8"/>
  <c r="B167" i="8" s="1"/>
  <c r="C166" i="8"/>
  <c r="B166" i="8" s="1"/>
  <c r="C165" i="8"/>
  <c r="B165" i="8" s="1"/>
  <c r="C164" i="8"/>
  <c r="B164" i="8" s="1"/>
  <c r="C163" i="8"/>
  <c r="B163" i="8" s="1"/>
  <c r="C113" i="8"/>
  <c r="B113" i="8" s="1"/>
  <c r="C105" i="8"/>
  <c r="B105" i="8" s="1"/>
  <c r="C107" i="8"/>
  <c r="B107" i="8" s="1"/>
  <c r="C162" i="8"/>
  <c r="B162" i="8" s="1"/>
  <c r="C110" i="8"/>
  <c r="B110" i="8" s="1"/>
  <c r="C106" i="8"/>
  <c r="B106" i="8" s="1"/>
  <c r="C108" i="8"/>
  <c r="B108" i="8" s="1"/>
  <c r="C112" i="8"/>
  <c r="B112" i="8" s="1"/>
  <c r="C161" i="8"/>
  <c r="B161" i="8" s="1"/>
  <c r="C160" i="8"/>
  <c r="B160" i="8" s="1"/>
  <c r="C159" i="8"/>
  <c r="B159" i="8" s="1"/>
  <c r="C158" i="8"/>
  <c r="B158" i="8" s="1"/>
  <c r="C157" i="8"/>
  <c r="B157" i="8" s="1"/>
  <c r="C156" i="8"/>
  <c r="B156" i="8" s="1"/>
  <c r="C155" i="8"/>
  <c r="B155" i="8" s="1"/>
  <c r="C154" i="8"/>
  <c r="B154" i="8" s="1"/>
  <c r="C111" i="8"/>
  <c r="B111" i="8" s="1"/>
  <c r="C153" i="8"/>
  <c r="B153" i="8" s="1"/>
  <c r="C152" i="8"/>
  <c r="B152" i="8" s="1"/>
  <c r="C151" i="8"/>
  <c r="B151" i="8" s="1"/>
  <c r="C150" i="8"/>
  <c r="B150" i="8" s="1"/>
  <c r="C109" i="8"/>
  <c r="B109" i="8" s="1"/>
  <c r="C149" i="8"/>
  <c r="B149" i="8" s="1"/>
  <c r="C148" i="8"/>
  <c r="B148" i="8" s="1"/>
  <c r="C147" i="8"/>
  <c r="B147" i="8" s="1"/>
  <c r="C146" i="8"/>
  <c r="B146" i="8" s="1"/>
  <c r="C145" i="8"/>
  <c r="B145" i="8" s="1"/>
  <c r="C144" i="8"/>
  <c r="B144" i="8" s="1"/>
  <c r="C143" i="8"/>
  <c r="B143" i="8" s="1"/>
  <c r="C142" i="8"/>
  <c r="B142" i="8" s="1"/>
  <c r="C141" i="8"/>
  <c r="B141" i="8" s="1"/>
  <c r="C140" i="8"/>
  <c r="B140" i="8" s="1"/>
  <c r="C139" i="8"/>
  <c r="B139" i="8" s="1"/>
  <c r="C138" i="8"/>
  <c r="B138" i="8" s="1"/>
  <c r="C137" i="8"/>
  <c r="B137" i="8" s="1"/>
  <c r="C136" i="8"/>
  <c r="B136" i="8" s="1"/>
  <c r="C135" i="8"/>
  <c r="B135" i="8" s="1"/>
  <c r="C134" i="8"/>
  <c r="B134" i="8" s="1"/>
  <c r="C133" i="8"/>
  <c r="B133" i="8" s="1"/>
  <c r="C132" i="8"/>
  <c r="B132" i="8" s="1"/>
  <c r="C131" i="8"/>
  <c r="B131" i="8" s="1"/>
  <c r="C130" i="8"/>
  <c r="B130" i="8" s="1"/>
  <c r="C129" i="8"/>
  <c r="B129" i="8" s="1"/>
  <c r="C128" i="8"/>
  <c r="B128" i="8" s="1"/>
  <c r="C127" i="8"/>
  <c r="B127" i="8" s="1"/>
  <c r="C126" i="8"/>
  <c r="B126" i="8" s="1"/>
  <c r="C125" i="8"/>
  <c r="B125" i="8" s="1"/>
  <c r="C124" i="8"/>
  <c r="B124" i="8" s="1"/>
  <c r="C123" i="8"/>
  <c r="B123" i="8" s="1"/>
  <c r="C122" i="8"/>
  <c r="B122" i="8" s="1"/>
  <c r="C121" i="8"/>
  <c r="B121" i="8" s="1"/>
  <c r="C120" i="8"/>
  <c r="B120" i="8" s="1"/>
  <c r="C119" i="8"/>
  <c r="B119" i="8" s="1"/>
  <c r="C118" i="8"/>
  <c r="B118" i="8" s="1"/>
  <c r="C117" i="8"/>
  <c r="B117" i="8" s="1"/>
  <c r="C116" i="8"/>
  <c r="B116" i="8" s="1"/>
  <c r="C115" i="8"/>
  <c r="B115" i="8"/>
  <c r="C114" i="8"/>
  <c r="B114" i="8" s="1"/>
  <c r="AG104" i="8"/>
  <c r="J104" i="8"/>
  <c r="U104" i="8"/>
  <c r="V104" i="8"/>
  <c r="Z104" i="8"/>
  <c r="R104" i="8"/>
  <c r="AW104" i="8"/>
  <c r="AA104" i="8"/>
  <c r="H104" i="8"/>
  <c r="W104" i="8"/>
  <c r="AV104" i="8"/>
  <c r="AI104" i="8"/>
  <c r="AF104" i="8"/>
  <c r="AM104" i="8"/>
  <c r="AL104" i="8"/>
  <c r="AP104" i="8"/>
  <c r="I104" i="8"/>
  <c r="D104" i="8"/>
  <c r="AO104" i="8"/>
  <c r="P104" i="8"/>
  <c r="AE104" i="8"/>
  <c r="G104" i="8"/>
  <c r="AX104" i="8"/>
  <c r="AN104" i="8"/>
  <c r="AY104" i="8"/>
  <c r="M104" i="8"/>
  <c r="AC104" i="8"/>
  <c r="L104" i="8"/>
  <c r="AR104" i="8"/>
  <c r="F104" i="8"/>
  <c r="AJ104" i="8"/>
  <c r="AH104" i="8"/>
  <c r="Q104" i="8"/>
  <c r="N104" i="8"/>
  <c r="AT104" i="8"/>
  <c r="AQ104" i="8"/>
  <c r="AS104" i="8"/>
  <c r="K104" i="8"/>
  <c r="AB104" i="8"/>
  <c r="AD104" i="8"/>
  <c r="AU104" i="8"/>
  <c r="Y104" i="8"/>
  <c r="X104" i="8"/>
  <c r="AK104" i="8"/>
  <c r="E104" i="8"/>
  <c r="S104" i="8"/>
  <c r="O104" i="8"/>
  <c r="T104" i="8"/>
  <c r="C103" i="8"/>
  <c r="B103" i="8" s="1"/>
  <c r="C102" i="8"/>
  <c r="B102" i="8" s="1"/>
  <c r="C70" i="8"/>
  <c r="B70" i="8" s="1"/>
  <c r="C74" i="8"/>
  <c r="B74" i="8" s="1"/>
  <c r="C101" i="8"/>
  <c r="B101" i="8" s="1"/>
  <c r="C81" i="8"/>
  <c r="B81" i="8" s="1"/>
  <c r="C100" i="8"/>
  <c r="B100" i="8" s="1"/>
  <c r="C99" i="8"/>
  <c r="B99" i="8" s="1"/>
  <c r="C98" i="8"/>
  <c r="B98" i="8" s="1"/>
  <c r="C77" i="8"/>
  <c r="B77" i="8" s="1"/>
  <c r="C76" i="8"/>
  <c r="B76" i="8" s="1"/>
  <c r="C97" i="8"/>
  <c r="B97" i="8" s="1"/>
  <c r="C96" i="8"/>
  <c r="B96" i="8" s="1"/>
  <c r="C95" i="8"/>
  <c r="B95" i="8" s="1"/>
  <c r="C80" i="8"/>
  <c r="B80" i="8" s="1"/>
  <c r="C73" i="8"/>
  <c r="B73" i="8" s="1"/>
  <c r="C78" i="8"/>
  <c r="B78" i="8" s="1"/>
  <c r="C94" i="8"/>
  <c r="B94" i="8" s="1"/>
  <c r="C93" i="8"/>
  <c r="B93" i="8" s="1"/>
  <c r="C72" i="8"/>
  <c r="B72" i="8" s="1"/>
  <c r="C71" i="8"/>
  <c r="B71" i="8" s="1"/>
  <c r="C92" i="8"/>
  <c r="B92" i="8" s="1"/>
  <c r="C75" i="8"/>
  <c r="B75" i="8" s="1"/>
  <c r="C79" i="8"/>
  <c r="B79" i="8" s="1"/>
  <c r="C91" i="8"/>
  <c r="B91" i="8" s="1"/>
  <c r="C90" i="8"/>
  <c r="B90" i="8" s="1"/>
  <c r="C89" i="8"/>
  <c r="B89" i="8" s="1"/>
  <c r="C88" i="8"/>
  <c r="B88" i="8" s="1"/>
  <c r="C87" i="8"/>
  <c r="B87" i="8" s="1"/>
  <c r="C86" i="8"/>
  <c r="B86" i="8" s="1"/>
  <c r="C85" i="8"/>
  <c r="B85" i="8" s="1"/>
  <c r="C84" i="8"/>
  <c r="B84" i="8" s="1"/>
  <c r="C83" i="8"/>
  <c r="B83" i="8" s="1"/>
  <c r="C82" i="8"/>
  <c r="B82" i="8" s="1"/>
  <c r="AG69" i="8"/>
  <c r="J69" i="8"/>
  <c r="U69" i="8"/>
  <c r="V69" i="8"/>
  <c r="Z69" i="8"/>
  <c r="R69" i="8"/>
  <c r="AW69" i="8"/>
  <c r="AA69" i="8"/>
  <c r="H69" i="8"/>
  <c r="W69" i="8"/>
  <c r="AV69" i="8"/>
  <c r="AI69" i="8"/>
  <c r="AF69" i="8"/>
  <c r="AM69" i="8"/>
  <c r="AL69" i="8"/>
  <c r="AP69" i="8"/>
  <c r="I69" i="8"/>
  <c r="D69" i="8"/>
  <c r="AO69" i="8"/>
  <c r="P69" i="8"/>
  <c r="AE69" i="8"/>
  <c r="G69" i="8"/>
  <c r="AX69" i="8"/>
  <c r="AN69" i="8"/>
  <c r="AY69" i="8"/>
  <c r="M69" i="8"/>
  <c r="AC69" i="8"/>
  <c r="L69" i="8"/>
  <c r="AR69" i="8"/>
  <c r="F69" i="8"/>
  <c r="AJ69" i="8"/>
  <c r="AH69" i="8"/>
  <c r="Q69" i="8"/>
  <c r="N69" i="8"/>
  <c r="AT69" i="8"/>
  <c r="AQ69" i="8"/>
  <c r="AS69" i="8"/>
  <c r="K69" i="8"/>
  <c r="AB69" i="8"/>
  <c r="AD69" i="8"/>
  <c r="AU69" i="8"/>
  <c r="Y69" i="8"/>
  <c r="X69" i="8"/>
  <c r="AK69" i="8"/>
  <c r="E69" i="8"/>
  <c r="S69" i="8"/>
  <c r="O69" i="8"/>
  <c r="T69" i="8"/>
  <c r="C32" i="8"/>
  <c r="B32" i="8" s="1"/>
  <c r="C68" i="8"/>
  <c r="B68" i="8" s="1"/>
  <c r="C67" i="8"/>
  <c r="B67" i="8" s="1"/>
  <c r="C66" i="8"/>
  <c r="B66" i="8" s="1"/>
  <c r="C43" i="8"/>
  <c r="B43" i="8" s="1"/>
  <c r="C37" i="8"/>
  <c r="B37" i="8" s="1"/>
  <c r="C48" i="8"/>
  <c r="B48" i="8" s="1"/>
  <c r="C39" i="8"/>
  <c r="B39" i="8" s="1"/>
  <c r="C44" i="8"/>
  <c r="B44" i="8" s="1"/>
  <c r="C36" i="8"/>
  <c r="B36" i="8" s="1"/>
  <c r="C65" i="8"/>
  <c r="B65" i="8" s="1"/>
  <c r="C38" i="8"/>
  <c r="B38" i="8" s="1"/>
  <c r="C64" i="8"/>
  <c r="B64" i="8" s="1"/>
  <c r="C63" i="8"/>
  <c r="B63" i="8" s="1"/>
  <c r="C35" i="8"/>
  <c r="B35" i="8" s="1"/>
  <c r="C47" i="8"/>
  <c r="B47" i="8" s="1"/>
  <c r="C62" i="8"/>
  <c r="B62" i="8" s="1"/>
  <c r="C61" i="8"/>
  <c r="B61" i="8" s="1"/>
  <c r="C60" i="8"/>
  <c r="B60" i="8" s="1"/>
  <c r="C59" i="8"/>
  <c r="B59" i="8" s="1"/>
  <c r="C58" i="8"/>
  <c r="B58" i="8" s="1"/>
  <c r="C45" i="8"/>
  <c r="B45" i="8" s="1"/>
  <c r="C57" i="8"/>
  <c r="B57" i="8" s="1"/>
  <c r="C56" i="8"/>
  <c r="B56" i="8" s="1"/>
  <c r="C34" i="8"/>
  <c r="B34" i="8" s="1"/>
  <c r="C46" i="8"/>
  <c r="B46" i="8" s="1"/>
  <c r="C55" i="8"/>
  <c r="B55" i="8" s="1"/>
  <c r="C54" i="8"/>
  <c r="B54" i="8" s="1"/>
  <c r="C33" i="8"/>
  <c r="B33" i="8" s="1"/>
  <c r="C53" i="8"/>
  <c r="B53" i="8" s="1"/>
  <c r="C52" i="8"/>
  <c r="B52" i="8" s="1"/>
  <c r="C50" i="8"/>
  <c r="B50" i="8" s="1"/>
  <c r="C49" i="8"/>
  <c r="B49" i="8" s="1"/>
  <c r="C51" i="8"/>
  <c r="B51" i="8" s="1"/>
  <c r="C42" i="8"/>
  <c r="B42" i="8" s="1"/>
  <c r="C41" i="8"/>
  <c r="B41" i="8" s="1"/>
  <c r="C40" i="8"/>
  <c r="B40" i="8" s="1"/>
  <c r="AG31" i="8"/>
  <c r="J31" i="8"/>
  <c r="U31" i="8"/>
  <c r="V31" i="8"/>
  <c r="Z31" i="8"/>
  <c r="R31" i="8"/>
  <c r="AW31" i="8"/>
  <c r="AA31" i="8"/>
  <c r="H31" i="8"/>
  <c r="W31" i="8"/>
  <c r="AV31" i="8"/>
  <c r="AI31" i="8"/>
  <c r="AF31" i="8"/>
  <c r="AM31" i="8"/>
  <c r="AL31" i="8"/>
  <c r="AP31" i="8"/>
  <c r="I31" i="8"/>
  <c r="D31" i="8"/>
  <c r="AO31" i="8"/>
  <c r="P31" i="8"/>
  <c r="AE31" i="8"/>
  <c r="G31" i="8"/>
  <c r="AX31" i="8"/>
  <c r="AN31" i="8"/>
  <c r="AY31" i="8"/>
  <c r="M31" i="8"/>
  <c r="AC31" i="8"/>
  <c r="L31" i="8"/>
  <c r="AR31" i="8"/>
  <c r="F31" i="8"/>
  <c r="AJ31" i="8"/>
  <c r="AH31" i="8"/>
  <c r="Q31" i="8"/>
  <c r="N31" i="8"/>
  <c r="AT31" i="8"/>
  <c r="AQ31" i="8"/>
  <c r="AS31" i="8"/>
  <c r="K31" i="8"/>
  <c r="AB31" i="8"/>
  <c r="AD31" i="8"/>
  <c r="AU31" i="8"/>
  <c r="Y31" i="8"/>
  <c r="X31" i="8"/>
  <c r="AK31" i="8"/>
  <c r="E31" i="8"/>
  <c r="S31" i="8"/>
  <c r="O31" i="8"/>
  <c r="T31" i="8"/>
  <c r="C30" i="8"/>
  <c r="B30" i="8" s="1"/>
  <c r="C29" i="8"/>
  <c r="B29" i="8" s="1"/>
  <c r="C28" i="8"/>
  <c r="B28" i="8" s="1"/>
  <c r="C20" i="8"/>
  <c r="B20" i="8" s="1"/>
  <c r="C24" i="8"/>
  <c r="B24" i="8" s="1"/>
  <c r="C21" i="8"/>
  <c r="B21" i="8" s="1"/>
  <c r="C23" i="8"/>
  <c r="B23" i="8" s="1"/>
  <c r="C22" i="8"/>
  <c r="B22" i="8" s="1"/>
  <c r="C27" i="8"/>
  <c r="B27" i="8" s="1"/>
  <c r="C26" i="8"/>
  <c r="B26" i="8" s="1"/>
  <c r="C25" i="8"/>
  <c r="B25" i="8" s="1"/>
  <c r="AG19" i="8"/>
  <c r="J19" i="8"/>
  <c r="U19" i="8"/>
  <c r="V19" i="8"/>
  <c r="Z19" i="8"/>
  <c r="R19" i="8"/>
  <c r="AW19" i="8"/>
  <c r="AA19" i="8"/>
  <c r="H19" i="8"/>
  <c r="W19" i="8"/>
  <c r="AV19" i="8"/>
  <c r="AI19" i="8"/>
  <c r="AF19" i="8"/>
  <c r="AM19" i="8"/>
  <c r="AL19" i="8"/>
  <c r="AP19" i="8"/>
  <c r="I19" i="8"/>
  <c r="D19" i="8"/>
  <c r="AO19" i="8"/>
  <c r="P19" i="8"/>
  <c r="AE19" i="8"/>
  <c r="G19" i="8"/>
  <c r="AX19" i="8"/>
  <c r="AN19" i="8"/>
  <c r="AY19" i="8"/>
  <c r="M19" i="8"/>
  <c r="AC19" i="8"/>
  <c r="L19" i="8"/>
  <c r="AR19" i="8"/>
  <c r="F19" i="8"/>
  <c r="AJ19" i="8"/>
  <c r="AH19" i="8"/>
  <c r="Q19" i="8"/>
  <c r="N19" i="8"/>
  <c r="AT19" i="8"/>
  <c r="AQ19" i="8"/>
  <c r="AS19" i="8"/>
  <c r="K19" i="8"/>
  <c r="AB19" i="8"/>
  <c r="AD19" i="8"/>
  <c r="AU19" i="8"/>
  <c r="Y19" i="8"/>
  <c r="X19" i="8"/>
  <c r="AK19" i="8"/>
  <c r="E19" i="8"/>
  <c r="S19" i="8"/>
  <c r="O19" i="8"/>
  <c r="T19" i="8"/>
  <c r="C14" i="8"/>
  <c r="B14" i="8" s="1"/>
  <c r="C18" i="8"/>
  <c r="B18" i="8" s="1"/>
  <c r="C17" i="8"/>
  <c r="B17" i="8" s="1"/>
  <c r="C16" i="8"/>
  <c r="B16" i="8" s="1"/>
  <c r="C15" i="8"/>
  <c r="B15" i="8" s="1"/>
  <c r="AG13" i="8"/>
  <c r="J13" i="8"/>
  <c r="U13" i="8"/>
  <c r="V13" i="8"/>
  <c r="Z13" i="8"/>
  <c r="R13" i="8"/>
  <c r="AW13" i="8"/>
  <c r="AA13" i="8"/>
  <c r="H13" i="8"/>
  <c r="W13" i="8"/>
  <c r="AV13" i="8"/>
  <c r="AI13" i="8"/>
  <c r="AF13" i="8"/>
  <c r="AM13" i="8"/>
  <c r="AL13" i="8"/>
  <c r="AP13" i="8"/>
  <c r="I13" i="8"/>
  <c r="D13" i="8"/>
  <c r="AO13" i="8"/>
  <c r="P13" i="8"/>
  <c r="AE13" i="8"/>
  <c r="G13" i="8"/>
  <c r="AX13" i="8"/>
  <c r="AN13" i="8"/>
  <c r="AY13" i="8"/>
  <c r="M13" i="8"/>
  <c r="AC13" i="8"/>
  <c r="L13" i="8"/>
  <c r="AR13" i="8"/>
  <c r="F13" i="8"/>
  <c r="AJ13" i="8"/>
  <c r="AH13" i="8"/>
  <c r="Q13" i="8"/>
  <c r="N13" i="8"/>
  <c r="AT13" i="8"/>
  <c r="AQ13" i="8"/>
  <c r="AS13" i="8"/>
  <c r="K13" i="8"/>
  <c r="AB13" i="8"/>
  <c r="AD13" i="8"/>
  <c r="AU13" i="8"/>
  <c r="Y13" i="8"/>
  <c r="X13" i="8"/>
  <c r="AK13" i="8"/>
  <c r="E13" i="8"/>
  <c r="S13" i="8"/>
  <c r="O13" i="8"/>
  <c r="T13" i="8"/>
  <c r="C278" i="2"/>
  <c r="K279" i="8" l="1"/>
  <c r="C2" i="8"/>
  <c r="B2" i="8" s="1"/>
  <c r="S279" i="8"/>
  <c r="Y279" i="8"/>
  <c r="G279" i="8"/>
  <c r="W279" i="8"/>
  <c r="F279" i="8"/>
  <c r="M279" i="8"/>
  <c r="J279" i="8"/>
  <c r="N279" i="8"/>
  <c r="D279" i="8"/>
  <c r="AM279" i="8"/>
  <c r="R279" i="8"/>
  <c r="C19" i="8"/>
  <c r="C69" i="8"/>
  <c r="B69" i="8" s="1"/>
  <c r="C233" i="8"/>
  <c r="C247" i="8"/>
  <c r="B247" i="8" s="1"/>
  <c r="B233" i="8"/>
  <c r="C195" i="8"/>
  <c r="B195" i="8" s="1"/>
  <c r="C180" i="8"/>
  <c r="C104" i="8"/>
  <c r="B104" i="8" s="1"/>
  <c r="X279" i="8"/>
  <c r="AB279" i="8"/>
  <c r="AT279" i="8"/>
  <c r="AJ279" i="8"/>
  <c r="AC279" i="8"/>
  <c r="AX279" i="8"/>
  <c r="AO279" i="8"/>
  <c r="AL279" i="8"/>
  <c r="AV279" i="8"/>
  <c r="AW279" i="8"/>
  <c r="U279" i="8"/>
  <c r="B31" i="8"/>
  <c r="C31" i="8"/>
  <c r="E279" i="8"/>
  <c r="AU279" i="8"/>
  <c r="AS279" i="8"/>
  <c r="Q279" i="8"/>
  <c r="AR279" i="8"/>
  <c r="AY279" i="8"/>
  <c r="AE279" i="8"/>
  <c r="I279" i="8"/>
  <c r="AF279" i="8"/>
  <c r="H279" i="8"/>
  <c r="Z279" i="8"/>
  <c r="AG279" i="8"/>
  <c r="B19" i="8"/>
  <c r="AH279" i="8"/>
  <c r="AP279" i="8"/>
  <c r="T279" i="8"/>
  <c r="AK279" i="8"/>
  <c r="AD279" i="8"/>
  <c r="AQ279" i="8"/>
  <c r="L279" i="8"/>
  <c r="AN279" i="8"/>
  <c r="P279" i="8"/>
  <c r="AI279" i="8"/>
  <c r="AA279" i="8"/>
  <c r="V279" i="8"/>
  <c r="C13" i="8"/>
  <c r="B13" i="8" s="1"/>
  <c r="B180" i="8"/>
  <c r="O279" i="8"/>
  <c r="C279" i="8" l="1"/>
  <c r="B279" i="8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D247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D233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D195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D180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D104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70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D69" i="2"/>
  <c r="C66" i="2"/>
  <c r="C67" i="2"/>
  <c r="C68" i="2"/>
  <c r="B66" i="2"/>
  <c r="B67" i="2"/>
  <c r="B68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D31" i="2"/>
  <c r="C32" i="2"/>
  <c r="C63" i="2"/>
  <c r="C64" i="2"/>
  <c r="C65" i="2"/>
  <c r="B63" i="2"/>
  <c r="B64" i="2"/>
  <c r="B65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32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D13" i="2"/>
  <c r="C15" i="2"/>
  <c r="C16" i="2"/>
  <c r="C17" i="2"/>
  <c r="C18" i="2"/>
  <c r="C14" i="2"/>
  <c r="B15" i="2"/>
  <c r="B16" i="2"/>
  <c r="B17" i="2"/>
  <c r="B18" i="2"/>
  <c r="B14" i="2"/>
  <c r="C6" i="2"/>
  <c r="B6" i="2"/>
  <c r="C4" i="2"/>
  <c r="C5" i="2"/>
  <c r="C7" i="2"/>
  <c r="C8" i="2"/>
  <c r="C9" i="2"/>
  <c r="C10" i="2"/>
  <c r="C11" i="2"/>
  <c r="C12" i="2"/>
  <c r="C3" i="2"/>
  <c r="E2" i="2"/>
  <c r="F2" i="2"/>
  <c r="G2" i="2"/>
  <c r="G279" i="2" s="1"/>
  <c r="H2" i="2"/>
  <c r="I2" i="2"/>
  <c r="J2" i="2"/>
  <c r="K2" i="2"/>
  <c r="L2" i="2"/>
  <c r="M2" i="2"/>
  <c r="N2" i="2"/>
  <c r="O2" i="2"/>
  <c r="O279" i="2" s="1"/>
  <c r="P2" i="2"/>
  <c r="Q2" i="2"/>
  <c r="R2" i="2"/>
  <c r="S2" i="2"/>
  <c r="S279" i="2" s="1"/>
  <c r="T2" i="2"/>
  <c r="U2" i="2"/>
  <c r="V2" i="2"/>
  <c r="W2" i="2"/>
  <c r="W279" i="2" s="1"/>
  <c r="X2" i="2"/>
  <c r="Y2" i="2"/>
  <c r="Z2" i="2"/>
  <c r="AA2" i="2"/>
  <c r="AA279" i="2" s="1"/>
  <c r="AB2" i="2"/>
  <c r="AC2" i="2"/>
  <c r="AD2" i="2"/>
  <c r="AE2" i="2"/>
  <c r="AE279" i="2" s="1"/>
  <c r="AF2" i="2"/>
  <c r="AG2" i="2"/>
  <c r="AH2" i="2"/>
  <c r="AI2" i="2"/>
  <c r="AI279" i="2" s="1"/>
  <c r="AJ2" i="2"/>
  <c r="AK2" i="2"/>
  <c r="AL2" i="2"/>
  <c r="AM2" i="2"/>
  <c r="AM279" i="2" s="1"/>
  <c r="AN2" i="2"/>
  <c r="AO2" i="2"/>
  <c r="AP2" i="2"/>
  <c r="AQ2" i="2"/>
  <c r="AQ279" i="2" s="1"/>
  <c r="AR2" i="2"/>
  <c r="AS2" i="2"/>
  <c r="AT2" i="2"/>
  <c r="AU2" i="2"/>
  <c r="AU279" i="2" s="1"/>
  <c r="AV2" i="2"/>
  <c r="AW2" i="2"/>
  <c r="AX2" i="2"/>
  <c r="AY2" i="2"/>
  <c r="AY279" i="2" s="1"/>
  <c r="D2" i="2"/>
  <c r="B4" i="2"/>
  <c r="B5" i="2"/>
  <c r="B7" i="2"/>
  <c r="B8" i="2"/>
  <c r="B9" i="2"/>
  <c r="B10" i="2"/>
  <c r="B11" i="2"/>
  <c r="B12" i="2"/>
  <c r="B3" i="2"/>
  <c r="AV279" i="2" l="1"/>
  <c r="AR279" i="2"/>
  <c r="AN279" i="2"/>
  <c r="AJ279" i="2"/>
  <c r="AF279" i="2"/>
  <c r="AB279" i="2"/>
  <c r="X279" i="2"/>
  <c r="T279" i="2"/>
  <c r="P279" i="2"/>
  <c r="L279" i="2"/>
  <c r="H279" i="2"/>
  <c r="AW279" i="2"/>
  <c r="K279" i="2"/>
  <c r="AX279" i="2"/>
  <c r="AT279" i="2"/>
  <c r="AP279" i="2"/>
  <c r="AL279" i="2"/>
  <c r="AH279" i="2"/>
  <c r="AD279" i="2"/>
  <c r="Z279" i="2"/>
  <c r="V279" i="2"/>
  <c r="R279" i="2"/>
  <c r="N279" i="2"/>
  <c r="J279" i="2"/>
  <c r="F279" i="2"/>
  <c r="AS279" i="2"/>
  <c r="AO279" i="2"/>
  <c r="AK279" i="2"/>
  <c r="AG279" i="2"/>
  <c r="AC279" i="2"/>
  <c r="Y279" i="2"/>
  <c r="U279" i="2"/>
  <c r="Q279" i="2"/>
  <c r="M279" i="2"/>
  <c r="I279" i="2"/>
  <c r="E279" i="2"/>
  <c r="B233" i="2"/>
  <c r="C233" i="2"/>
  <c r="B247" i="2"/>
  <c r="C180" i="2"/>
  <c r="C195" i="2"/>
  <c r="C247" i="2"/>
  <c r="C104" i="2"/>
  <c r="B104" i="2"/>
  <c r="B180" i="2"/>
  <c r="B195" i="2"/>
  <c r="C69" i="2"/>
  <c r="B69" i="2"/>
  <c r="C31" i="2"/>
  <c r="B31" i="2"/>
  <c r="C30" i="2"/>
  <c r="B30" i="2"/>
  <c r="B2" i="2"/>
  <c r="B13" i="2"/>
  <c r="C13" i="2"/>
  <c r="C2" i="2"/>
  <c r="C29" i="2" l="1"/>
  <c r="B29" i="2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2" i="1"/>
  <c r="B28" i="2" l="1"/>
  <c r="C28" i="2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B64" i="1"/>
  <c r="AX62" i="1"/>
  <c r="AX63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5" i="1"/>
  <c r="AX6" i="1"/>
  <c r="AX4" i="1"/>
  <c r="AX3" i="1"/>
  <c r="AX2" i="1"/>
  <c r="B27" i="2" l="1"/>
  <c r="C27" i="2"/>
  <c r="AX64" i="1"/>
  <c r="B65" i="1"/>
  <c r="C26" i="2" l="1"/>
  <c r="B26" i="2"/>
  <c r="B25" i="2" l="1"/>
  <c r="C25" i="2"/>
  <c r="B24" i="2" l="1"/>
  <c r="C24" i="2"/>
  <c r="B23" i="2" l="1"/>
  <c r="C23" i="2"/>
  <c r="C22" i="2" l="1"/>
  <c r="B22" i="2"/>
  <c r="C21" i="2" l="1"/>
  <c r="B21" i="2"/>
  <c r="B20" i="2" l="1"/>
  <c r="C20" i="2"/>
  <c r="D19" i="2"/>
  <c r="D279" i="2" s="1"/>
  <c r="B19" i="2" l="1"/>
  <c r="B279" i="2" s="1"/>
  <c r="C19" i="2"/>
  <c r="C279" i="2" s="1"/>
</calcChain>
</file>

<file path=xl/sharedStrings.xml><?xml version="1.0" encoding="utf-8"?>
<sst xmlns="http://schemas.openxmlformats.org/spreadsheetml/2006/main" count="773" uniqueCount="390">
  <si>
    <t>1506788.py</t>
  </si>
  <si>
    <t>3450083.py</t>
  </si>
  <si>
    <t>4508607.py</t>
  </si>
  <si>
    <t>4872986.py</t>
  </si>
  <si>
    <t xml:space="preserve">5075526.py </t>
  </si>
  <si>
    <t>1118412.py</t>
  </si>
  <si>
    <t>2263122.py</t>
  </si>
  <si>
    <t>3667020.py</t>
  </si>
  <si>
    <t>4885081.py</t>
  </si>
  <si>
    <t xml:space="preserve">5139662.py </t>
  </si>
  <si>
    <t>5548766.py</t>
  </si>
  <si>
    <t>2290273.py</t>
  </si>
  <si>
    <t>3703957.py</t>
  </si>
  <si>
    <t>4609708.py</t>
  </si>
  <si>
    <t>4922639.py</t>
  </si>
  <si>
    <t>5146261.py</t>
  </si>
  <si>
    <t>569978.py</t>
  </si>
  <si>
    <t>1284160.py</t>
  </si>
  <si>
    <t xml:space="preserve">3928478.py </t>
  </si>
  <si>
    <t>4679793.py</t>
  </si>
  <si>
    <t>4939097.py</t>
  </si>
  <si>
    <t>5207269.py</t>
  </si>
  <si>
    <t>604466.py</t>
  </si>
  <si>
    <t xml:space="preserve">1491975.py </t>
  </si>
  <si>
    <t>3032683.py</t>
  </si>
  <si>
    <t>4407980.py</t>
  </si>
  <si>
    <t>4680902.py</t>
  </si>
  <si>
    <t>494071.py</t>
  </si>
  <si>
    <t>5213191.py</t>
  </si>
  <si>
    <t>946614.py</t>
  </si>
  <si>
    <t>1492534.py</t>
  </si>
  <si>
    <t>3032735.py</t>
  </si>
  <si>
    <t>4713505.py</t>
  </si>
  <si>
    <t>5027176.py</t>
  </si>
  <si>
    <t>5262517.py</t>
  </si>
  <si>
    <t>956279.py</t>
  </si>
  <si>
    <t>105552.py</t>
  </si>
  <si>
    <t>344012.py</t>
  </si>
  <si>
    <t>4490201.py</t>
  </si>
  <si>
    <t>5066095.py</t>
  </si>
  <si>
    <t>5323529.py</t>
  </si>
  <si>
    <t>98562.py</t>
  </si>
  <si>
    <t>1089808.py</t>
  </si>
  <si>
    <t>C0103</t>
    <phoneticPr fontId="3" type="noConversion"/>
  </si>
  <si>
    <t xml:space="preserve">C0111 </t>
    <phoneticPr fontId="3" type="noConversion"/>
  </si>
  <si>
    <t>C0113</t>
    <phoneticPr fontId="3" type="noConversion"/>
  </si>
  <si>
    <t xml:space="preserve">C0121   </t>
    <phoneticPr fontId="3" type="noConversion"/>
  </si>
  <si>
    <t xml:space="preserve">C0200   </t>
    <phoneticPr fontId="3" type="noConversion"/>
  </si>
  <si>
    <t xml:space="preserve">C0301   </t>
    <phoneticPr fontId="3" type="noConversion"/>
  </si>
  <si>
    <t xml:space="preserve">C0303  </t>
    <phoneticPr fontId="3" type="noConversion"/>
  </si>
  <si>
    <t xml:space="preserve">C0304 </t>
    <phoneticPr fontId="3" type="noConversion"/>
  </si>
  <si>
    <t xml:space="preserve">C0321   </t>
    <phoneticPr fontId="3" type="noConversion"/>
  </si>
  <si>
    <t xml:space="preserve">C0325   </t>
    <phoneticPr fontId="3" type="noConversion"/>
  </si>
  <si>
    <t xml:space="preserve">C0326  </t>
    <phoneticPr fontId="3" type="noConversion"/>
  </si>
  <si>
    <t xml:space="preserve">C0411   </t>
    <phoneticPr fontId="3" type="noConversion"/>
  </si>
  <si>
    <t xml:space="preserve">E0001   </t>
    <phoneticPr fontId="3" type="noConversion"/>
  </si>
  <si>
    <t xml:space="preserve">E0401   </t>
    <phoneticPr fontId="3" type="noConversion"/>
  </si>
  <si>
    <t>E101</t>
    <phoneticPr fontId="3" type="noConversion"/>
  </si>
  <si>
    <t xml:space="preserve">E111 </t>
    <phoneticPr fontId="3" type="noConversion"/>
  </si>
  <si>
    <t xml:space="preserve">E122 </t>
    <phoneticPr fontId="3" type="noConversion"/>
  </si>
  <si>
    <t xml:space="preserve">E201 </t>
    <phoneticPr fontId="3" type="noConversion"/>
  </si>
  <si>
    <t xml:space="preserve">E202 </t>
    <phoneticPr fontId="3" type="noConversion"/>
  </si>
  <si>
    <t xml:space="preserve">E203 </t>
    <phoneticPr fontId="3" type="noConversion"/>
  </si>
  <si>
    <t xml:space="preserve">E221 </t>
    <phoneticPr fontId="3" type="noConversion"/>
  </si>
  <si>
    <t>E222</t>
    <phoneticPr fontId="3" type="noConversion"/>
  </si>
  <si>
    <t xml:space="preserve">E225 </t>
    <phoneticPr fontId="3" type="noConversion"/>
  </si>
  <si>
    <t xml:space="preserve">E228 </t>
    <phoneticPr fontId="3" type="noConversion"/>
  </si>
  <si>
    <t xml:space="preserve">E231 </t>
    <phoneticPr fontId="3" type="noConversion"/>
  </si>
  <si>
    <t xml:space="preserve">E251 </t>
    <phoneticPr fontId="3" type="noConversion"/>
  </si>
  <si>
    <t xml:space="preserve">E261 </t>
    <phoneticPr fontId="3" type="noConversion"/>
  </si>
  <si>
    <t xml:space="preserve">E262 </t>
    <phoneticPr fontId="3" type="noConversion"/>
  </si>
  <si>
    <t xml:space="preserve">E265 </t>
    <phoneticPr fontId="3" type="noConversion"/>
  </si>
  <si>
    <t xml:space="preserve">E266 </t>
    <phoneticPr fontId="3" type="noConversion"/>
  </si>
  <si>
    <t xml:space="preserve">E301 </t>
    <phoneticPr fontId="3" type="noConversion"/>
  </si>
  <si>
    <t xml:space="preserve">E302 </t>
    <phoneticPr fontId="3" type="noConversion"/>
  </si>
  <si>
    <t xml:space="preserve">E305 </t>
    <phoneticPr fontId="3" type="noConversion"/>
  </si>
  <si>
    <t xml:space="preserve">E402 </t>
    <phoneticPr fontId="3" type="noConversion"/>
  </si>
  <si>
    <t>E501</t>
    <phoneticPr fontId="3" type="noConversion"/>
  </si>
  <si>
    <t>E701</t>
    <phoneticPr fontId="3" type="noConversion"/>
  </si>
  <si>
    <t xml:space="preserve">E702 </t>
    <phoneticPr fontId="3" type="noConversion"/>
  </si>
  <si>
    <t>E711</t>
    <phoneticPr fontId="3" type="noConversion"/>
  </si>
  <si>
    <t xml:space="preserve">E712 </t>
    <phoneticPr fontId="3" type="noConversion"/>
  </si>
  <si>
    <t>E713</t>
    <phoneticPr fontId="3" type="noConversion"/>
  </si>
  <si>
    <t>E731</t>
    <phoneticPr fontId="3" type="noConversion"/>
  </si>
  <si>
    <t>E741</t>
    <phoneticPr fontId="3" type="noConversion"/>
  </si>
  <si>
    <t xml:space="preserve">W0102 </t>
    <phoneticPr fontId="3" type="noConversion"/>
  </si>
  <si>
    <t xml:space="preserve">W0108 </t>
    <phoneticPr fontId="3" type="noConversion"/>
  </si>
  <si>
    <t xml:space="preserve">W0122  </t>
    <phoneticPr fontId="3" type="noConversion"/>
  </si>
  <si>
    <t xml:space="preserve">W0141  </t>
    <phoneticPr fontId="3" type="noConversion"/>
  </si>
  <si>
    <t xml:space="preserve">W0311  </t>
    <phoneticPr fontId="3" type="noConversion"/>
  </si>
  <si>
    <t xml:space="preserve">W0312  </t>
    <phoneticPr fontId="3" type="noConversion"/>
  </si>
  <si>
    <t xml:space="preserve">W0512 </t>
    <phoneticPr fontId="3" type="noConversion"/>
  </si>
  <si>
    <t xml:space="preserve">W0601  </t>
    <phoneticPr fontId="3" type="noConversion"/>
  </si>
  <si>
    <t xml:space="preserve">W0602 </t>
    <phoneticPr fontId="3" type="noConversion"/>
  </si>
  <si>
    <t xml:space="preserve">W0603  </t>
    <phoneticPr fontId="3" type="noConversion"/>
  </si>
  <si>
    <t xml:space="preserve">W0611  </t>
    <phoneticPr fontId="3" type="noConversion"/>
  </si>
  <si>
    <t xml:space="preserve">W0612  </t>
    <phoneticPr fontId="3" type="noConversion"/>
  </si>
  <si>
    <t xml:space="preserve">W0621   </t>
    <phoneticPr fontId="3" type="noConversion"/>
  </si>
  <si>
    <t xml:space="preserve">W0622   </t>
    <phoneticPr fontId="3" type="noConversion"/>
  </si>
  <si>
    <t xml:space="preserve">W191 </t>
    <phoneticPr fontId="3" type="noConversion"/>
  </si>
  <si>
    <t>W291</t>
    <phoneticPr fontId="3" type="noConversion"/>
  </si>
  <si>
    <t xml:space="preserve">W292 </t>
    <phoneticPr fontId="3" type="noConversion"/>
  </si>
  <si>
    <t xml:space="preserve">W293 </t>
    <phoneticPr fontId="3" type="noConversion"/>
  </si>
  <si>
    <t>W391</t>
    <phoneticPr fontId="3" type="noConversion"/>
  </si>
  <si>
    <t xml:space="preserve">W601 </t>
    <phoneticPr fontId="3" type="noConversion"/>
  </si>
  <si>
    <t>평균</t>
    <phoneticPr fontId="3" type="noConversion"/>
  </si>
  <si>
    <t>합(100개 이상 빨강, 50개 이상 파랑)</t>
    <phoneticPr fontId="3" type="noConversion"/>
  </si>
  <si>
    <t>코드별 메시지 수(100개 이상 빨강, 50개 이상 파랑)</t>
    <phoneticPr fontId="3" type="noConversion"/>
  </si>
  <si>
    <t>평균</t>
    <phoneticPr fontId="3" type="noConversion"/>
  </si>
  <si>
    <t>122713.py</t>
    <phoneticPr fontId="3" type="noConversion"/>
  </si>
  <si>
    <t>442060.py</t>
    <phoneticPr fontId="3" type="noConversion"/>
  </si>
  <si>
    <t>1498125.py</t>
    <phoneticPr fontId="3" type="noConversion"/>
  </si>
  <si>
    <t>3032633.py</t>
    <phoneticPr fontId="3" type="noConversion"/>
  </si>
  <si>
    <t>4541350.py</t>
    <phoneticPr fontId="3" type="noConversion"/>
  </si>
  <si>
    <t>에러메세지</t>
    <phoneticPr fontId="3" type="noConversion"/>
  </si>
  <si>
    <t>E112</t>
  </si>
  <si>
    <t>W503</t>
    <phoneticPr fontId="3" type="noConversion"/>
  </si>
  <si>
    <t>E121</t>
    <phoneticPr fontId="3" type="noConversion"/>
  </si>
  <si>
    <t>Indentation Check</t>
    <phoneticPr fontId="3" type="noConversion"/>
  </si>
  <si>
    <t>Naming Check</t>
    <phoneticPr fontId="3" type="noConversion"/>
  </si>
  <si>
    <t>E742</t>
  </si>
  <si>
    <t>E743</t>
  </si>
  <si>
    <t>c0102</t>
    <phoneticPr fontId="3" type="noConversion"/>
  </si>
  <si>
    <t>Comment Check</t>
    <phoneticPr fontId="3" type="noConversion"/>
  </si>
  <si>
    <t>E101</t>
    <phoneticPr fontId="3" type="noConversion"/>
  </si>
  <si>
    <t>E115</t>
  </si>
  <si>
    <t>E116</t>
  </si>
  <si>
    <t>E261</t>
  </si>
  <si>
    <t>E262</t>
  </si>
  <si>
    <t>E265</t>
  </si>
  <si>
    <t>E266</t>
  </si>
  <si>
    <t>E114</t>
    <phoneticPr fontId="3" type="noConversion"/>
  </si>
  <si>
    <t>c0111</t>
    <phoneticPr fontId="3" type="noConversion"/>
  </si>
  <si>
    <t>c0112</t>
    <phoneticPr fontId="3" type="noConversion"/>
  </si>
  <si>
    <t>w0410</t>
    <phoneticPr fontId="3" type="noConversion"/>
  </si>
  <si>
    <t>w0511</t>
    <phoneticPr fontId="3" type="noConversion"/>
  </si>
  <si>
    <t>C0113</t>
    <phoneticPr fontId="3" type="noConversion"/>
  </si>
  <si>
    <t xml:space="preserve">W191 </t>
    <phoneticPr fontId="3" type="noConversion"/>
  </si>
  <si>
    <t xml:space="preserve">W0311  </t>
    <phoneticPr fontId="3" type="noConversion"/>
  </si>
  <si>
    <t>C0103</t>
    <phoneticPr fontId="3" type="noConversion"/>
  </si>
  <si>
    <t>WhiteSpace check</t>
    <phoneticPr fontId="3" type="noConversion"/>
  </si>
  <si>
    <t>E201</t>
  </si>
  <si>
    <t>E202</t>
  </si>
  <si>
    <t>E203</t>
  </si>
  <si>
    <t>E211</t>
  </si>
  <si>
    <t>E221</t>
  </si>
  <si>
    <t>E222</t>
  </si>
  <si>
    <t>E223</t>
  </si>
  <si>
    <t>E224</t>
  </si>
  <si>
    <t>E225</t>
  </si>
  <si>
    <t>E227</t>
  </si>
  <si>
    <t>E228</t>
  </si>
  <si>
    <t>E231</t>
  </si>
  <si>
    <t>E251</t>
  </si>
  <si>
    <t>E271</t>
  </si>
  <si>
    <t>E272</t>
  </si>
  <si>
    <t>E273</t>
  </si>
  <si>
    <t>E274</t>
  </si>
  <si>
    <t>E275</t>
  </si>
  <si>
    <t>E301</t>
  </si>
  <si>
    <t>E302</t>
  </si>
  <si>
    <t>E303</t>
  </si>
  <si>
    <t>E304</t>
  </si>
  <si>
    <t>E305</t>
  </si>
  <si>
    <t>E306</t>
  </si>
  <si>
    <t>W291</t>
  </si>
  <si>
    <t>W292</t>
  </si>
  <si>
    <t>W391</t>
  </si>
  <si>
    <t>w293</t>
    <phoneticPr fontId="3" type="noConversion"/>
  </si>
  <si>
    <t xml:space="preserve">E226 </t>
    <phoneticPr fontId="3" type="noConversion"/>
  </si>
  <si>
    <t>E241</t>
    <phoneticPr fontId="3" type="noConversion"/>
  </si>
  <si>
    <t xml:space="preserve">E242 </t>
    <phoneticPr fontId="3" type="noConversion"/>
  </si>
  <si>
    <t>합</t>
    <phoneticPr fontId="3" type="noConversion"/>
  </si>
  <si>
    <t>c0303</t>
    <phoneticPr fontId="3" type="noConversion"/>
  </si>
  <si>
    <t>c0304</t>
    <phoneticPr fontId="3" type="noConversion"/>
  </si>
  <si>
    <t>c0322</t>
    <phoneticPr fontId="3" type="noConversion"/>
  </si>
  <si>
    <t>Code format</t>
    <phoneticPr fontId="3" type="noConversion"/>
  </si>
  <si>
    <t xml:space="preserve">E401 </t>
  </si>
  <si>
    <t xml:space="preserve">E402 </t>
  </si>
  <si>
    <t xml:space="preserve">E502 </t>
  </si>
  <si>
    <t>E701</t>
  </si>
  <si>
    <t>E702</t>
  </si>
  <si>
    <t>E703</t>
  </si>
  <si>
    <t>E713</t>
  </si>
  <si>
    <t>E714</t>
  </si>
  <si>
    <t>E722</t>
  </si>
  <si>
    <t>E731</t>
  </si>
  <si>
    <t>W602</t>
  </si>
  <si>
    <t>W603</t>
  </si>
  <si>
    <t>W604</t>
  </si>
  <si>
    <t xml:space="preserve">E123 </t>
    <phoneticPr fontId="3" type="noConversion"/>
  </si>
  <si>
    <t>E124</t>
  </si>
  <si>
    <t>W601</t>
    <phoneticPr fontId="3" type="noConversion"/>
  </si>
  <si>
    <t xml:space="preserve">E721 </t>
    <phoneticPr fontId="3" type="noConversion"/>
  </si>
  <si>
    <t xml:space="preserve">E712 </t>
    <phoneticPr fontId="3" type="noConversion"/>
  </si>
  <si>
    <t xml:space="preserve">E711 </t>
    <phoneticPr fontId="3" type="noConversion"/>
  </si>
  <si>
    <t xml:space="preserve">E704 </t>
    <phoneticPr fontId="3" type="noConversion"/>
  </si>
  <si>
    <t xml:space="preserve">E501 </t>
    <phoneticPr fontId="3" type="noConversion"/>
  </si>
  <si>
    <t xml:space="preserve">E133 </t>
    <phoneticPr fontId="3" type="noConversion"/>
  </si>
  <si>
    <t xml:space="preserve">E131 </t>
    <phoneticPr fontId="3" type="noConversion"/>
  </si>
  <si>
    <t>E129</t>
    <phoneticPr fontId="3" type="noConversion"/>
  </si>
  <si>
    <t>E128</t>
    <phoneticPr fontId="3" type="noConversion"/>
  </si>
  <si>
    <t xml:space="preserve">E127 </t>
    <phoneticPr fontId="3" type="noConversion"/>
  </si>
  <si>
    <t xml:space="preserve">E126 </t>
    <phoneticPr fontId="3" type="noConversion"/>
  </si>
  <si>
    <t xml:space="preserve">E125 </t>
    <phoneticPr fontId="3" type="noConversion"/>
  </si>
  <si>
    <t>c0301</t>
    <phoneticPr fontId="3" type="noConversion"/>
  </si>
  <si>
    <t>c0302</t>
    <phoneticPr fontId="3" type="noConversion"/>
  </si>
  <si>
    <t>c0321</t>
    <phoneticPr fontId="3" type="noConversion"/>
  </si>
  <si>
    <t>c0325</t>
    <phoneticPr fontId="3" type="noConversion"/>
  </si>
  <si>
    <t>c1001</t>
    <phoneticPr fontId="3" type="noConversion"/>
  </si>
  <si>
    <t>w0301</t>
    <phoneticPr fontId="3" type="noConversion"/>
  </si>
  <si>
    <t>Code Problem</t>
    <phoneticPr fontId="3" type="noConversion"/>
  </si>
  <si>
    <t>E0102</t>
    <phoneticPr fontId="3" type="noConversion"/>
  </si>
  <si>
    <t>e0103</t>
    <phoneticPr fontId="3" type="noConversion"/>
  </si>
  <si>
    <t>e0106</t>
    <phoneticPr fontId="3" type="noConversion"/>
  </si>
  <si>
    <t>e0501</t>
    <phoneticPr fontId="3" type="noConversion"/>
  </si>
  <si>
    <t>e0502</t>
    <phoneticPr fontId="3" type="noConversion"/>
  </si>
  <si>
    <t>e0503</t>
    <phoneticPr fontId="3" type="noConversion"/>
  </si>
  <si>
    <t>e0601</t>
    <phoneticPr fontId="3" type="noConversion"/>
  </si>
  <si>
    <t>e0602</t>
    <phoneticPr fontId="3" type="noConversion"/>
  </si>
  <si>
    <t>e0603</t>
    <phoneticPr fontId="3" type="noConversion"/>
  </si>
  <si>
    <t>e0604</t>
    <phoneticPr fontId="3" type="noConversion"/>
  </si>
  <si>
    <t>e0701</t>
    <phoneticPr fontId="3" type="noConversion"/>
  </si>
  <si>
    <t>e0702</t>
    <phoneticPr fontId="3" type="noConversion"/>
  </si>
  <si>
    <t>e0711</t>
    <phoneticPr fontId="3" type="noConversion"/>
  </si>
  <si>
    <t>e1101</t>
    <phoneticPr fontId="3" type="noConversion"/>
  </si>
  <si>
    <t>e1102</t>
    <phoneticPr fontId="3" type="noConversion"/>
  </si>
  <si>
    <t>e1103</t>
    <phoneticPr fontId="3" type="noConversion"/>
  </si>
  <si>
    <t>e1200</t>
    <phoneticPr fontId="3" type="noConversion"/>
  </si>
  <si>
    <t>e1201</t>
    <phoneticPr fontId="3" type="noConversion"/>
  </si>
  <si>
    <t>e1205</t>
    <phoneticPr fontId="3" type="noConversion"/>
  </si>
  <si>
    <t>e1206</t>
    <phoneticPr fontId="3" type="noConversion"/>
  </si>
  <si>
    <t>e1300</t>
    <phoneticPr fontId="3" type="noConversion"/>
  </si>
  <si>
    <t>e1301</t>
    <phoneticPr fontId="3" type="noConversion"/>
  </si>
  <si>
    <t>e1302</t>
    <phoneticPr fontId="3" type="noConversion"/>
  </si>
  <si>
    <t>e1303</t>
    <phoneticPr fontId="3" type="noConversion"/>
  </si>
  <si>
    <t>e1304</t>
    <phoneticPr fontId="3" type="noConversion"/>
  </si>
  <si>
    <t>e1305</t>
    <phoneticPr fontId="3" type="noConversion"/>
  </si>
  <si>
    <t>e1306</t>
    <phoneticPr fontId="3" type="noConversion"/>
  </si>
  <si>
    <t>f0004</t>
    <phoneticPr fontId="3" type="noConversion"/>
  </si>
  <si>
    <t>f0010</t>
    <phoneticPr fontId="3" type="noConversion"/>
  </si>
  <si>
    <t>r0801</t>
    <phoneticPr fontId="3" type="noConversion"/>
  </si>
  <si>
    <t>r0911</t>
    <phoneticPr fontId="3" type="noConversion"/>
  </si>
  <si>
    <t>r0912</t>
    <phoneticPr fontId="3" type="noConversion"/>
  </si>
  <si>
    <t>r0913</t>
    <phoneticPr fontId="3" type="noConversion"/>
  </si>
  <si>
    <t>r0914</t>
    <phoneticPr fontId="3" type="noConversion"/>
  </si>
  <si>
    <t>r0915</t>
    <phoneticPr fontId="3" type="noConversion"/>
  </si>
  <si>
    <t>w0101</t>
    <phoneticPr fontId="3" type="noConversion"/>
  </si>
  <si>
    <t>w0102</t>
    <phoneticPr fontId="3" type="noConversion"/>
  </si>
  <si>
    <t>w0104</t>
    <phoneticPr fontId="3" type="noConversion"/>
  </si>
  <si>
    <t>w0105</t>
    <phoneticPr fontId="3" type="noConversion"/>
  </si>
  <si>
    <t>w0106</t>
    <phoneticPr fontId="3" type="noConversion"/>
  </si>
  <si>
    <t>w0107</t>
    <phoneticPr fontId="3" type="noConversion"/>
  </si>
  <si>
    <t>w0108</t>
    <phoneticPr fontId="3" type="noConversion"/>
  </si>
  <si>
    <t>w0109</t>
    <phoneticPr fontId="3" type="noConversion"/>
  </si>
  <si>
    <t>w0110</t>
    <phoneticPr fontId="3" type="noConversion"/>
  </si>
  <si>
    <t>w0120</t>
    <phoneticPr fontId="3" type="noConversion"/>
  </si>
  <si>
    <t>w0150</t>
    <phoneticPr fontId="3" type="noConversion"/>
  </si>
  <si>
    <t>w0199</t>
    <phoneticPr fontId="3" type="noConversion"/>
  </si>
  <si>
    <t>w0234</t>
    <phoneticPr fontId="3" type="noConversion"/>
  </si>
  <si>
    <t>w0332</t>
    <phoneticPr fontId="3" type="noConversion"/>
  </si>
  <si>
    <t>w0333</t>
    <phoneticPr fontId="3" type="noConversion"/>
  </si>
  <si>
    <t>w0512</t>
    <phoneticPr fontId="3" type="noConversion"/>
  </si>
  <si>
    <t>w0601</t>
    <phoneticPr fontId="3" type="noConversion"/>
  </si>
  <si>
    <t>w0602</t>
    <phoneticPr fontId="3" type="noConversion"/>
  </si>
  <si>
    <t>w0603</t>
    <phoneticPr fontId="3" type="noConversion"/>
  </si>
  <si>
    <t>w0604</t>
  </si>
  <si>
    <t>w0612</t>
    <phoneticPr fontId="3" type="noConversion"/>
  </si>
  <si>
    <t>w0621</t>
    <phoneticPr fontId="3" type="noConversion"/>
  </si>
  <si>
    <t>w0622</t>
    <phoneticPr fontId="3" type="noConversion"/>
  </si>
  <si>
    <t>w0623</t>
    <phoneticPr fontId="3" type="noConversion"/>
  </si>
  <si>
    <t>w0631</t>
    <phoneticPr fontId="3" type="noConversion"/>
  </si>
  <si>
    <t>w0632</t>
    <phoneticPr fontId="3" type="noConversion"/>
  </si>
  <si>
    <t>w0633</t>
    <phoneticPr fontId="3" type="noConversion"/>
  </si>
  <si>
    <t>w0701</t>
    <phoneticPr fontId="3" type="noConversion"/>
  </si>
  <si>
    <t>w0702</t>
    <phoneticPr fontId="3" type="noConversion"/>
  </si>
  <si>
    <t>w0703</t>
    <phoneticPr fontId="3" type="noConversion"/>
  </si>
  <si>
    <t>w0704</t>
    <phoneticPr fontId="3" type="noConversion"/>
  </si>
  <si>
    <t>w0710</t>
    <phoneticPr fontId="3" type="noConversion"/>
  </si>
  <si>
    <t>w0711</t>
    <phoneticPr fontId="3" type="noConversion"/>
  </si>
  <si>
    <t>w0712</t>
    <phoneticPr fontId="3" type="noConversion"/>
  </si>
  <si>
    <t>w1201</t>
    <phoneticPr fontId="3" type="noConversion"/>
  </si>
  <si>
    <t>w1300</t>
    <phoneticPr fontId="3" type="noConversion"/>
  </si>
  <si>
    <t>w1301</t>
    <phoneticPr fontId="3" type="noConversion"/>
  </si>
  <si>
    <t>w1401</t>
    <phoneticPr fontId="3" type="noConversion"/>
  </si>
  <si>
    <t>w1402</t>
    <phoneticPr fontId="3" type="noConversion"/>
  </si>
  <si>
    <t>w1501</t>
    <phoneticPr fontId="3" type="noConversion"/>
  </si>
  <si>
    <t>function</t>
    <phoneticPr fontId="3" type="noConversion"/>
  </si>
  <si>
    <t>e0104</t>
    <phoneticPr fontId="3" type="noConversion"/>
  </si>
  <si>
    <t>e0105</t>
    <phoneticPr fontId="3" type="noConversion"/>
  </si>
  <si>
    <t>e0106</t>
    <phoneticPr fontId="3" type="noConversion"/>
  </si>
  <si>
    <t>e0108</t>
    <phoneticPr fontId="3" type="noConversion"/>
  </si>
  <si>
    <t>e1120</t>
    <phoneticPr fontId="3" type="noConversion"/>
  </si>
  <si>
    <t>e1121</t>
    <phoneticPr fontId="3" type="noConversion"/>
  </si>
  <si>
    <t>e1122</t>
    <phoneticPr fontId="3" type="noConversion"/>
  </si>
  <si>
    <t>e1123</t>
    <phoneticPr fontId="3" type="noConversion"/>
  </si>
  <si>
    <t>e1124</t>
    <phoneticPr fontId="3" type="noConversion"/>
  </si>
  <si>
    <t>e1125</t>
    <phoneticPr fontId="3" type="noConversion"/>
  </si>
  <si>
    <t>w0141</t>
    <phoneticPr fontId="3" type="noConversion"/>
  </si>
  <si>
    <t>w0142</t>
    <phoneticPr fontId="3" type="noConversion"/>
  </si>
  <si>
    <t>w0613</t>
    <phoneticPr fontId="3" type="noConversion"/>
  </si>
  <si>
    <t>w1111</t>
    <phoneticPr fontId="3" type="noConversion"/>
  </si>
  <si>
    <t>class</t>
    <phoneticPr fontId="3" type="noConversion"/>
  </si>
  <si>
    <t>e0100</t>
    <phoneticPr fontId="3" type="noConversion"/>
  </si>
  <si>
    <t>e0101</t>
    <phoneticPr fontId="3" type="noConversion"/>
  </si>
  <si>
    <t>e0202</t>
    <phoneticPr fontId="3" type="noConversion"/>
  </si>
  <si>
    <t>e0203</t>
    <phoneticPr fontId="3" type="noConversion"/>
  </si>
  <si>
    <t>e0211</t>
    <phoneticPr fontId="3" type="noConversion"/>
  </si>
  <si>
    <t>e0213</t>
    <phoneticPr fontId="3" type="noConversion"/>
  </si>
  <si>
    <t>e0221</t>
    <phoneticPr fontId="3" type="noConversion"/>
  </si>
  <si>
    <t>e0222</t>
    <phoneticPr fontId="3" type="noConversion"/>
  </si>
  <si>
    <t>e0235</t>
    <phoneticPr fontId="3" type="noConversion"/>
  </si>
  <si>
    <t>e0710</t>
    <phoneticPr fontId="3" type="noConversion"/>
  </si>
  <si>
    <t>e0712</t>
    <phoneticPr fontId="3" type="noConversion"/>
  </si>
  <si>
    <t>e1001</t>
    <phoneticPr fontId="3" type="noConversion"/>
  </si>
  <si>
    <t>e1002</t>
    <phoneticPr fontId="3" type="noConversion"/>
  </si>
  <si>
    <t>e1003</t>
    <phoneticPr fontId="3" type="noConversion"/>
  </si>
  <si>
    <t>e1004</t>
    <phoneticPr fontId="3" type="noConversion"/>
  </si>
  <si>
    <t>e1310</t>
    <phoneticPr fontId="3" type="noConversion"/>
  </si>
  <si>
    <t>f0202</t>
    <phoneticPr fontId="3" type="noConversion"/>
  </si>
  <si>
    <t>f0220</t>
    <phoneticPr fontId="3" type="noConversion"/>
  </si>
  <si>
    <t>r0901</t>
    <phoneticPr fontId="3" type="noConversion"/>
  </si>
  <si>
    <t>r0902</t>
    <phoneticPr fontId="3" type="noConversion"/>
  </si>
  <si>
    <t>r0903</t>
    <phoneticPr fontId="3" type="noConversion"/>
  </si>
  <si>
    <t>r0904</t>
    <phoneticPr fontId="3" type="noConversion"/>
  </si>
  <si>
    <t>r0921</t>
    <phoneticPr fontId="3" type="noConversion"/>
  </si>
  <si>
    <t>r0922</t>
    <phoneticPr fontId="3" type="noConversion"/>
  </si>
  <si>
    <t>r0923</t>
    <phoneticPr fontId="3" type="noConversion"/>
  </si>
  <si>
    <t>w0121</t>
    <phoneticPr fontId="3" type="noConversion"/>
  </si>
  <si>
    <t>w0122</t>
    <phoneticPr fontId="3" type="noConversion"/>
  </si>
  <si>
    <t>w0201</t>
    <phoneticPr fontId="3" type="noConversion"/>
  </si>
  <si>
    <t>w0211</t>
    <phoneticPr fontId="3" type="noConversion"/>
  </si>
  <si>
    <t>w0212</t>
    <phoneticPr fontId="3" type="noConversion"/>
  </si>
  <si>
    <t>w0221</t>
    <phoneticPr fontId="3" type="noConversion"/>
  </si>
  <si>
    <t>w0222</t>
    <phoneticPr fontId="3" type="noConversion"/>
  </si>
  <si>
    <t>w0223</t>
    <phoneticPr fontId="3" type="noConversion"/>
  </si>
  <si>
    <t>w0231</t>
    <phoneticPr fontId="3" type="noConversion"/>
  </si>
  <si>
    <t>w0232</t>
    <phoneticPr fontId="3" type="noConversion"/>
  </si>
  <si>
    <t>w0233</t>
    <phoneticPr fontId="3" type="noConversion"/>
  </si>
  <si>
    <t>w1001</t>
    <phoneticPr fontId="3" type="noConversion"/>
  </si>
  <si>
    <t>module</t>
    <phoneticPr fontId="3" type="noConversion"/>
  </si>
  <si>
    <t>c0121</t>
    <phoneticPr fontId="3" type="noConversion"/>
  </si>
  <si>
    <t>e0001</t>
    <phoneticPr fontId="3" type="noConversion"/>
  </si>
  <si>
    <t>e0611</t>
    <phoneticPr fontId="3" type="noConversion"/>
  </si>
  <si>
    <t>f0003</t>
    <phoneticPr fontId="3" type="noConversion"/>
  </si>
  <si>
    <t>f0401</t>
    <phoneticPr fontId="3" type="noConversion"/>
  </si>
  <si>
    <t>r0401</t>
    <phoneticPr fontId="3" type="noConversion"/>
  </si>
  <si>
    <t>w0401</t>
    <phoneticPr fontId="3" type="noConversion"/>
  </si>
  <si>
    <t>w0402</t>
    <phoneticPr fontId="3" type="noConversion"/>
  </si>
  <si>
    <t>w0403</t>
    <phoneticPr fontId="3" type="noConversion"/>
  </si>
  <si>
    <t>w0404</t>
    <phoneticPr fontId="3" type="noConversion"/>
  </si>
  <si>
    <t>w0406</t>
    <phoneticPr fontId="3" type="noConversion"/>
  </si>
  <si>
    <t>w0611</t>
    <phoneticPr fontId="3" type="noConversion"/>
  </si>
  <si>
    <t>w0614</t>
    <phoneticPr fontId="3" type="noConversion"/>
  </si>
  <si>
    <t>error</t>
    <phoneticPr fontId="3" type="noConversion"/>
  </si>
  <si>
    <t>c0202</t>
    <phoneticPr fontId="3" type="noConversion"/>
  </si>
  <si>
    <t>c0203</t>
    <phoneticPr fontId="3" type="noConversion"/>
  </si>
  <si>
    <t>c0204</t>
    <phoneticPr fontId="3" type="noConversion"/>
  </si>
  <si>
    <t>e0011</t>
    <phoneticPr fontId="3" type="noConversion"/>
  </si>
  <si>
    <t>e0012</t>
    <phoneticPr fontId="3" type="noConversion"/>
  </si>
  <si>
    <t>e0710</t>
    <phoneticPr fontId="3" type="noConversion"/>
  </si>
  <si>
    <t>f002</t>
    <phoneticPr fontId="3" type="noConversion"/>
  </si>
  <si>
    <t>f0001</t>
    <phoneticPr fontId="3" type="noConversion"/>
  </si>
  <si>
    <t>r0912</t>
    <phoneticPr fontId="3" type="noConversion"/>
  </si>
  <si>
    <t>f0321</t>
    <phoneticPr fontId="3" type="noConversion"/>
  </si>
  <si>
    <t>i0001</t>
    <phoneticPr fontId="3" type="noConversion"/>
  </si>
  <si>
    <t>i0010</t>
    <phoneticPr fontId="3" type="noConversion"/>
  </si>
  <si>
    <t>i0011</t>
    <phoneticPr fontId="3" type="noConversion"/>
  </si>
  <si>
    <t>i0012</t>
    <phoneticPr fontId="3" type="noConversion"/>
  </si>
  <si>
    <t>i0013</t>
    <phoneticPr fontId="3" type="noConversion"/>
  </si>
  <si>
    <t>i0014</t>
    <phoneticPr fontId="3" type="noConversion"/>
  </si>
  <si>
    <t>i0020</t>
    <phoneticPr fontId="3" type="noConversion"/>
  </si>
  <si>
    <t>i0021</t>
    <phoneticPr fontId="3" type="noConversion"/>
  </si>
  <si>
    <t>i0022</t>
    <phoneticPr fontId="3" type="noConversion"/>
  </si>
  <si>
    <t>rp0001</t>
    <phoneticPr fontId="3" type="noConversion"/>
  </si>
  <si>
    <t>rp0002</t>
    <phoneticPr fontId="3" type="noConversion"/>
  </si>
  <si>
    <t>rp0003</t>
  </si>
  <si>
    <t>rp0004</t>
  </si>
  <si>
    <t>rp0101</t>
    <phoneticPr fontId="3" type="noConversion"/>
  </si>
  <si>
    <t>rp0401</t>
    <phoneticPr fontId="3" type="noConversion"/>
  </si>
  <si>
    <t>rp0402</t>
    <phoneticPr fontId="3" type="noConversion"/>
  </si>
  <si>
    <t>rp0701</t>
    <phoneticPr fontId="3" type="noConversion"/>
  </si>
  <si>
    <t>rp0801</t>
    <phoneticPr fontId="3" type="noConversion"/>
  </si>
  <si>
    <t>c0323</t>
    <phoneticPr fontId="3" type="noConversion"/>
  </si>
  <si>
    <t>c0324</t>
    <phoneticPr fontId="3" type="noConversion"/>
  </si>
  <si>
    <t>c0326</t>
    <phoneticPr fontId="3" type="noConversion"/>
  </si>
  <si>
    <t>1284160.py</t>
    <phoneticPr fontId="3" type="noConversion"/>
  </si>
  <si>
    <t>1506788.py</t>
    <phoneticPr fontId="3" type="noConversion"/>
  </si>
  <si>
    <t>Total</t>
    <phoneticPr fontId="3" type="noConversion"/>
  </si>
  <si>
    <t>complexity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</si>
</sst>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rgb="FF000000"/>
      <name val="굴림체"/>
      <family val="3"/>
      <charset val="129"/>
    </font>
    <font>
      <sz val="8"/>
      <name val="맑은 고딕"/>
      <family val="2"/>
      <charset val="129"/>
      <scheme val="minor"/>
    </font>
    <font>
      <sz val="12"/>
      <color theme="1"/>
      <name val="굴림체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2"/>
      <name val="굴림체"/>
      <family val="3"/>
      <charset val="129"/>
    </font>
    <font>
      <sz val="11"/>
      <color rgb="FF0070C0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b/>
      <sz val="12"/>
      <color rgb="FF0070C0"/>
      <name val="굴림체"/>
      <family val="3"/>
      <charset val="129"/>
    </font>
    <font>
      <b/>
      <sz val="11"/>
      <color rgb="FF0070C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3"/>
      <color theme="1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>
      <alignment vertical="center"/>
    </xf>
    <xf numFmtId="0" fontId="1" fillId="0" borderId="0" xfId="0" applyFont="1" applyAlignment="1">
      <alignment horizontal="justify" vertical="center"/>
    </xf>
    <xf numFmtId="0" fontId="4" fillId="0" borderId="0" xfId="0" applyFont="1" applyAlignment="1">
      <alignment horizontal="justify" vertical="center"/>
    </xf>
    <xf numFmtId="0" fontId="1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10" fillId="0" borderId="1" xfId="0" applyNumberFormat="1" applyFont="1" applyBorder="1">
      <alignment vertical="center"/>
    </xf>
    <xf numFmtId="0" fontId="10" fillId="0" borderId="1" xfId="0" applyFont="1" applyBorder="1">
      <alignment vertical="center"/>
    </xf>
    <xf numFmtId="0" fontId="11" fillId="0" borderId="2" xfId="0" applyFont="1" applyBorder="1" applyAlignment="1">
      <alignment horizontal="left" vertical="center"/>
    </xf>
    <xf numFmtId="0" fontId="11" fillId="0" borderId="3" xfId="0" applyNumberFormat="1" applyFont="1" applyBorder="1" applyAlignment="1">
      <alignment horizontal="justify" vertical="center"/>
    </xf>
    <xf numFmtId="0" fontId="11" fillId="0" borderId="3" xfId="0" applyFont="1" applyBorder="1" applyAlignment="1">
      <alignment horizontal="justify" vertical="center"/>
    </xf>
    <xf numFmtId="0" fontId="11" fillId="0" borderId="4" xfId="0" applyFont="1" applyBorder="1" applyAlignment="1">
      <alignment horizontal="left" vertical="center"/>
    </xf>
    <xf numFmtId="0" fontId="11" fillId="0" borderId="4" xfId="0" applyFont="1" applyBorder="1" applyAlignment="1">
      <alignment horizontal="justify" vertical="center"/>
    </xf>
    <xf numFmtId="0" fontId="12" fillId="0" borderId="4" xfId="0" applyFont="1" applyBorder="1" applyAlignment="1">
      <alignment horizontal="justify" vertical="center"/>
    </xf>
    <xf numFmtId="0" fontId="12" fillId="0" borderId="4" xfId="0" applyFont="1" applyBorder="1">
      <alignment vertical="center"/>
    </xf>
    <xf numFmtId="0" fontId="13" fillId="0" borderId="4" xfId="0" applyFont="1" applyBorder="1">
      <alignment vertical="center"/>
    </xf>
    <xf numFmtId="0" fontId="15" fillId="0" borderId="0" xfId="0" applyFont="1">
      <alignment vertical="center"/>
    </xf>
    <xf numFmtId="0" fontId="15" fillId="0" borderId="1" xfId="0" applyNumberFormat="1" applyFont="1" applyBorder="1">
      <alignment vertical="center"/>
    </xf>
    <xf numFmtId="0" fontId="15" fillId="0" borderId="1" xfId="0" applyFont="1" applyBorder="1">
      <alignment vertical="center"/>
    </xf>
    <xf numFmtId="0" fontId="15" fillId="0" borderId="0" xfId="0" applyFont="1" applyAlignment="1">
      <alignment horizontal="left" vertical="center"/>
    </xf>
    <xf numFmtId="0" fontId="16" fillId="0" borderId="0" xfId="0" applyFont="1">
      <alignment vertical="center"/>
    </xf>
    <xf numFmtId="0" fontId="15" fillId="0" borderId="0" xfId="0" applyNumberFormat="1" applyFont="1" applyBorder="1">
      <alignment vertical="center"/>
    </xf>
    <xf numFmtId="0" fontId="17" fillId="0" borderId="0" xfId="0" applyFont="1" applyAlignment="1">
      <alignment horizontal="left" vertical="center"/>
    </xf>
    <xf numFmtId="0" fontId="17" fillId="0" borderId="1" xfId="0" applyNumberFormat="1" applyFont="1" applyBorder="1">
      <alignment vertical="center"/>
    </xf>
    <xf numFmtId="0" fontId="17" fillId="0" borderId="1" xfId="0" applyFont="1" applyBorder="1">
      <alignment vertical="center"/>
    </xf>
    <xf numFmtId="0" fontId="17" fillId="0" borderId="0" xfId="0" applyFont="1">
      <alignment vertical="center"/>
    </xf>
    <xf numFmtId="0" fontId="15" fillId="0" borderId="0" xfId="0" applyFont="1" applyBorder="1">
      <alignment vertical="center"/>
    </xf>
    <xf numFmtId="0" fontId="17" fillId="0" borderId="0" xfId="0" applyFont="1" applyBorder="1">
      <alignment vertical="center"/>
    </xf>
    <xf numFmtId="0" fontId="0" fillId="0" borderId="0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classification 9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(Sheet1!$A$2,Sheet1!$A$13,Sheet1!$A$19,Sheet1!$A$31,Sheet1!$A$69,Sheet1!$A$104,Sheet1!$A$180,Sheet1!$A$195,Sheet1!$A$233,Sheet1!$A$247)</c15:sqref>
                  </c15:fullRef>
                </c:ext>
              </c:extLst>
              <c:f>(Sheet1!$A$2,Sheet1!$A$13,Sheet1!$A$19,Sheet1!$A$31,Sheet1!$A$69,Sheet1!$A$104,Sheet1!$A$180,Sheet1!$A$195,Sheet1!$A$233)</c:f>
              <c:strCache>
                <c:ptCount val="9"/>
                <c:pt idx="0">
                  <c:v>Indentation Check</c:v>
                </c:pt>
                <c:pt idx="1">
                  <c:v>Naming Check</c:v>
                </c:pt>
                <c:pt idx="2">
                  <c:v>Comment Check</c:v>
                </c:pt>
                <c:pt idx="3">
                  <c:v>WhiteSpace check</c:v>
                </c:pt>
                <c:pt idx="4">
                  <c:v>Code format</c:v>
                </c:pt>
                <c:pt idx="5">
                  <c:v>Code Problem</c:v>
                </c:pt>
                <c:pt idx="6">
                  <c:v>function</c:v>
                </c:pt>
                <c:pt idx="7">
                  <c:v>class</c:v>
                </c:pt>
                <c:pt idx="8">
                  <c:v>module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(Sheet1!$B$2,Sheet1!$B$13,Sheet1!$B$19,Sheet1!$B$31,Sheet1!$B$69,Sheet1!$B$104,Sheet1!$B$180,Sheet1!$B$195,Sheet1!$B$233,Sheet1!$B$247)</c15:sqref>
                  </c15:fullRef>
                </c:ext>
              </c:extLst>
              <c:f>(Sheet1!$B$2,Sheet1!$B$13,Sheet1!$B$19,Sheet1!$B$31,Sheet1!$B$69,Sheet1!$B$104,Sheet1!$B$180,Sheet1!$B$195,Sheet1!$B$233)</c:f>
              <c:numCache>
                <c:formatCode>General</c:formatCode>
                <c:ptCount val="9"/>
                <c:pt idx="0">
                  <c:v>465</c:v>
                </c:pt>
                <c:pt idx="1">
                  <c:v>343</c:v>
                </c:pt>
                <c:pt idx="2">
                  <c:v>108</c:v>
                </c:pt>
                <c:pt idx="3">
                  <c:v>1072</c:v>
                </c:pt>
                <c:pt idx="4">
                  <c:v>123</c:v>
                </c:pt>
                <c:pt idx="5">
                  <c:v>102</c:v>
                </c:pt>
                <c:pt idx="6">
                  <c:v>87</c:v>
                </c:pt>
                <c:pt idx="7">
                  <c:v>0</c:v>
                </c:pt>
                <c:pt idx="8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D-4833-A101-643ED5083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58727208"/>
        <c:axId val="558725896"/>
        <c:axId val="0"/>
      </c:bar3DChart>
      <c:catAx>
        <c:axId val="558727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8725896"/>
        <c:crosses val="autoZero"/>
        <c:auto val="1"/>
        <c:lblAlgn val="ctr"/>
        <c:lblOffset val="100"/>
        <c:noMultiLvlLbl val="0"/>
      </c:catAx>
      <c:valAx>
        <c:axId val="55872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872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classification 10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('Sheet1 (2)'!$A$2,'Sheet1 (2)'!$A$13,'Sheet1 (2)'!$A$19,'Sheet1 (2)'!$A$31,'Sheet1 (2)'!$A$69,'Sheet1 (2)'!$A$104,'Sheet1 (2)'!$A$180,'Sheet1 (2)'!$A$195,'Sheet1 (2)'!$A$233,'Sheet1 (2)'!$A$247)</c:f>
              <c:strCache>
                <c:ptCount val="10"/>
                <c:pt idx="0">
                  <c:v>Indentation Check</c:v>
                </c:pt>
                <c:pt idx="1">
                  <c:v>Naming Check</c:v>
                </c:pt>
                <c:pt idx="2">
                  <c:v>Comment Check</c:v>
                </c:pt>
                <c:pt idx="3">
                  <c:v>WhiteSpace check</c:v>
                </c:pt>
                <c:pt idx="4">
                  <c:v>Code format</c:v>
                </c:pt>
                <c:pt idx="5">
                  <c:v>Code Problem</c:v>
                </c:pt>
                <c:pt idx="6">
                  <c:v>function</c:v>
                </c:pt>
                <c:pt idx="7">
                  <c:v>class</c:v>
                </c:pt>
                <c:pt idx="8">
                  <c:v>module</c:v>
                </c:pt>
                <c:pt idx="9">
                  <c:v>error</c:v>
                </c:pt>
              </c:strCache>
            </c:strRef>
          </c:cat>
          <c:val>
            <c:numRef>
              <c:f>('Sheet1 (2)'!$B$2,'Sheet1 (2)'!$B$13,'Sheet1 (2)'!$B$19,'Sheet1 (2)'!$B$31,'Sheet1 (2)'!$B$69,'Sheet1 (2)'!$B$104,'Sheet1 (2)'!$B$180,'Sheet1 (2)'!$B$195,'Sheet1 (2)'!$B$233,'Sheet1 (2)'!$B$247)</c:f>
              <c:numCache>
                <c:formatCode>General</c:formatCode>
                <c:ptCount val="10"/>
                <c:pt idx="0">
                  <c:v>465</c:v>
                </c:pt>
                <c:pt idx="1">
                  <c:v>343</c:v>
                </c:pt>
                <c:pt idx="2">
                  <c:v>108</c:v>
                </c:pt>
                <c:pt idx="3">
                  <c:v>1072</c:v>
                </c:pt>
                <c:pt idx="4">
                  <c:v>123</c:v>
                </c:pt>
                <c:pt idx="5">
                  <c:v>102</c:v>
                </c:pt>
                <c:pt idx="6">
                  <c:v>87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A4-4915-A368-AC9F08AE9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58727208"/>
        <c:axId val="558725896"/>
        <c:axId val="0"/>
      </c:bar3DChart>
      <c:catAx>
        <c:axId val="558727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8725896"/>
        <c:crosses val="autoZero"/>
        <c:auto val="1"/>
        <c:lblAlgn val="ctr"/>
        <c:lblOffset val="100"/>
        <c:noMultiLvlLbl val="0"/>
      </c:catAx>
      <c:valAx>
        <c:axId val="55872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872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402166</xdr:colOff>
      <xdr:row>280</xdr:row>
      <xdr:rowOff>189440</xdr:rowOff>
    </xdr:from>
    <xdr:to>
      <xdr:col>10</xdr:col>
      <xdr:colOff>158750</xdr:colOff>
      <xdr:row>293</xdr:row>
      <xdr:rowOff>180975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402166</xdr:colOff>
      <xdr:row>280</xdr:row>
      <xdr:rowOff>189440</xdr:rowOff>
    </xdr:from>
    <xdr:to>
      <xdr:col>10</xdr:col>
      <xdr:colOff>158750</xdr:colOff>
      <xdr:row>293</xdr:row>
      <xdr:rowOff>180975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2</xdr:row>
          <xdr:rowOff>0</xdr:rowOff>
        </xdr:from>
        <xdr:to>
          <xdr:col>1</xdr:col>
          <xdr:colOff>9525</xdr:colOff>
          <xdr:row>3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IC정렬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12</xdr:row>
          <xdr:rowOff>228600</xdr:rowOff>
        </xdr:from>
        <xdr:to>
          <xdr:col>0</xdr:col>
          <xdr:colOff>1323975</xdr:colOff>
          <xdr:row>15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NC정렬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19</xdr:row>
          <xdr:rowOff>9525</xdr:rowOff>
        </xdr:from>
        <xdr:to>
          <xdr:col>1</xdr:col>
          <xdr:colOff>0</xdr:colOff>
          <xdr:row>20</xdr:row>
          <xdr:rowOff>200025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CC정렬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31</xdr:row>
          <xdr:rowOff>0</xdr:rowOff>
        </xdr:from>
        <xdr:to>
          <xdr:col>1</xdr:col>
          <xdr:colOff>0</xdr:colOff>
          <xdr:row>32</xdr:row>
          <xdr:rowOff>200025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WC정렬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69</xdr:row>
          <xdr:rowOff>0</xdr:rowOff>
        </xdr:from>
        <xdr:to>
          <xdr:col>1</xdr:col>
          <xdr:colOff>0</xdr:colOff>
          <xdr:row>71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CF정렬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104</xdr:row>
          <xdr:rowOff>0</xdr:rowOff>
        </xdr:from>
        <xdr:to>
          <xdr:col>0</xdr:col>
          <xdr:colOff>1323975</xdr:colOff>
          <xdr:row>105</xdr:row>
          <xdr:rowOff>200025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CP정렬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179</xdr:row>
          <xdr:rowOff>228600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195</xdr:row>
          <xdr:rowOff>0</xdr:rowOff>
        </xdr:from>
        <xdr:to>
          <xdr:col>0</xdr:col>
          <xdr:colOff>1323975</xdr:colOff>
          <xdr:row>197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233</xdr:row>
          <xdr:rowOff>0</xdr:rowOff>
        </xdr:from>
        <xdr:to>
          <xdr:col>0</xdr:col>
          <xdr:colOff>1323975</xdr:colOff>
          <xdr:row>235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247</xdr:row>
          <xdr:rowOff>0</xdr:rowOff>
        </xdr:from>
        <xdr:to>
          <xdr:col>0</xdr:col>
          <xdr:colOff>1323975</xdr:colOff>
          <xdr:row>249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279</xdr:row>
          <xdr:rowOff>0</xdr:rowOff>
        </xdr:from>
        <xdr:to>
          <xdr:col>0</xdr:col>
          <xdr:colOff>1323975</xdr:colOff>
          <xdr:row>280</xdr:row>
          <xdr:rowOff>200025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279</xdr:row>
          <xdr:rowOff>0</xdr:rowOff>
        </xdr:from>
        <xdr:to>
          <xdr:col>0</xdr:col>
          <xdr:colOff>542925</xdr:colOff>
          <xdr:row>280</xdr:row>
          <xdr:rowOff>200025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CY정렬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C정렬"/>
      <definedName name="CF정렬"/>
      <definedName name="COMPLEXITY"/>
      <definedName name="CP정렬"/>
      <definedName name="C정렬"/>
      <definedName name="E정렬"/>
      <definedName name="F정렬"/>
      <definedName name="IC정렬"/>
      <definedName name="M정렬"/>
      <definedName name="NC정렬"/>
      <definedName name="T정렬"/>
      <definedName name="WC정렬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K131"/>
  <sheetViews>
    <sheetView tabSelected="1" zoomScale="60" zoomScaleNormal="60" workbookViewId="0">
      <pane ySplit="1" topLeftCell="A53" activePane="bottomLeft" state="frozen"/>
      <selection pane="bottomLeft" activeCell="E64" sqref="E64"/>
    </sheetView>
  </sheetViews>
  <sheetFormatPr defaultRowHeight="16.5"/>
  <cols>
    <col min="51" max="51" width="15.25" customWidth="1"/>
    <col min="52" max="52" width="17.375" bestFit="1" customWidth="1"/>
    <col min="53" max="54" width="18.625" bestFit="1" customWidth="1"/>
    <col min="55" max="55" width="17.375" bestFit="1" customWidth="1"/>
    <col min="56" max="56" width="18.625" bestFit="1" customWidth="1"/>
    <col min="57" max="57" width="19.375" bestFit="1" customWidth="1"/>
    <col min="58" max="63" width="18.625" bestFit="1" customWidth="1"/>
  </cols>
  <sheetData>
    <row r="1" spans="1:51" ht="54">
      <c r="A1" s="5" t="s">
        <v>114</v>
      </c>
      <c r="B1" s="5" t="s">
        <v>36</v>
      </c>
      <c r="C1" s="3" t="s">
        <v>42</v>
      </c>
      <c r="D1" s="4" t="s">
        <v>5</v>
      </c>
      <c r="E1" s="6" t="s">
        <v>109</v>
      </c>
      <c r="F1" s="3" t="s">
        <v>17</v>
      </c>
      <c r="G1" s="2" t="s">
        <v>23</v>
      </c>
      <c r="H1" s="3" t="s">
        <v>30</v>
      </c>
      <c r="I1" s="3" t="s">
        <v>111</v>
      </c>
      <c r="J1" s="3" t="s">
        <v>387</v>
      </c>
      <c r="K1" s="3" t="s">
        <v>6</v>
      </c>
      <c r="L1" s="2" t="s">
        <v>11</v>
      </c>
      <c r="M1" s="3" t="s">
        <v>112</v>
      </c>
      <c r="N1" s="3" t="s">
        <v>24</v>
      </c>
      <c r="O1" s="3" t="s">
        <v>31</v>
      </c>
      <c r="P1" s="3" t="s">
        <v>37</v>
      </c>
      <c r="Q1" s="2" t="s">
        <v>1</v>
      </c>
      <c r="R1" s="2" t="s">
        <v>7</v>
      </c>
      <c r="S1" s="3" t="s">
        <v>12</v>
      </c>
      <c r="T1" s="2" t="s">
        <v>18</v>
      </c>
      <c r="U1" s="3" t="s">
        <v>25</v>
      </c>
      <c r="V1" s="3" t="s">
        <v>110</v>
      </c>
      <c r="W1" s="3" t="s">
        <v>38</v>
      </c>
      <c r="X1" s="2" t="s">
        <v>2</v>
      </c>
      <c r="Y1" s="2" t="s">
        <v>113</v>
      </c>
      <c r="Z1" s="2" t="s">
        <v>13</v>
      </c>
      <c r="AA1" s="3" t="s">
        <v>19</v>
      </c>
      <c r="AB1" s="3" t="s">
        <v>26</v>
      </c>
      <c r="AC1" s="3" t="s">
        <v>32</v>
      </c>
      <c r="AD1" s="3" t="s">
        <v>3</v>
      </c>
      <c r="AE1" s="3" t="s">
        <v>8</v>
      </c>
      <c r="AF1" s="2" t="s">
        <v>14</v>
      </c>
      <c r="AG1" s="3" t="s">
        <v>20</v>
      </c>
      <c r="AH1" s="3" t="s">
        <v>27</v>
      </c>
      <c r="AI1" s="3" t="s">
        <v>33</v>
      </c>
      <c r="AJ1" s="2" t="s">
        <v>39</v>
      </c>
      <c r="AK1" s="2" t="s">
        <v>4</v>
      </c>
      <c r="AL1" s="2" t="s">
        <v>9</v>
      </c>
      <c r="AM1" s="2" t="s">
        <v>15</v>
      </c>
      <c r="AN1" s="3" t="s">
        <v>21</v>
      </c>
      <c r="AO1" s="3" t="s">
        <v>28</v>
      </c>
      <c r="AP1" s="3" t="s">
        <v>34</v>
      </c>
      <c r="AQ1" s="3" t="s">
        <v>40</v>
      </c>
      <c r="AR1" s="3" t="s">
        <v>10</v>
      </c>
      <c r="AS1" s="3" t="s">
        <v>16</v>
      </c>
      <c r="AT1" s="2" t="s">
        <v>22</v>
      </c>
      <c r="AU1" s="3" t="s">
        <v>29</v>
      </c>
      <c r="AV1" s="3" t="s">
        <v>35</v>
      </c>
      <c r="AW1" s="2" t="s">
        <v>41</v>
      </c>
      <c r="AX1" s="3" t="s">
        <v>106</v>
      </c>
      <c r="AY1" s="3" t="s">
        <v>108</v>
      </c>
    </row>
    <row r="2" spans="1:51">
      <c r="A2" s="2" t="s">
        <v>43</v>
      </c>
      <c r="B2">
        <v>14</v>
      </c>
      <c r="C2">
        <v>15</v>
      </c>
      <c r="D2">
        <v>0</v>
      </c>
      <c r="E2">
        <v>10</v>
      </c>
      <c r="F2">
        <v>4</v>
      </c>
      <c r="G2">
        <v>13</v>
      </c>
      <c r="H2">
        <v>9</v>
      </c>
      <c r="I2">
        <v>0</v>
      </c>
      <c r="J2">
        <v>0</v>
      </c>
      <c r="K2">
        <v>0</v>
      </c>
      <c r="L2">
        <v>12</v>
      </c>
      <c r="M2">
        <v>0</v>
      </c>
      <c r="N2">
        <v>0</v>
      </c>
      <c r="O2">
        <v>0</v>
      </c>
      <c r="P2">
        <v>12</v>
      </c>
      <c r="Q2">
        <v>13</v>
      </c>
      <c r="R2">
        <v>12</v>
      </c>
      <c r="S2">
        <v>7</v>
      </c>
      <c r="T2">
        <v>11</v>
      </c>
      <c r="U2">
        <v>0</v>
      </c>
      <c r="V2">
        <v>12</v>
      </c>
      <c r="W2">
        <v>0</v>
      </c>
      <c r="X2">
        <v>14</v>
      </c>
      <c r="Y2">
        <v>0</v>
      </c>
      <c r="Z2">
        <v>7</v>
      </c>
      <c r="AA2">
        <v>0</v>
      </c>
      <c r="AB2">
        <v>18</v>
      </c>
      <c r="AC2">
        <v>0</v>
      </c>
      <c r="AD2">
        <v>13</v>
      </c>
      <c r="AE2">
        <v>0</v>
      </c>
      <c r="AF2">
        <v>38</v>
      </c>
      <c r="AG2">
        <v>14</v>
      </c>
      <c r="AH2">
        <v>0</v>
      </c>
      <c r="AI2">
        <v>0</v>
      </c>
      <c r="AJ2">
        <v>0</v>
      </c>
      <c r="AK2">
        <v>14</v>
      </c>
      <c r="AL2">
        <v>0</v>
      </c>
      <c r="AM2">
        <v>0</v>
      </c>
      <c r="AN2">
        <v>0</v>
      </c>
      <c r="AO2">
        <v>14</v>
      </c>
      <c r="AP2">
        <v>9</v>
      </c>
      <c r="AQ2">
        <v>0</v>
      </c>
      <c r="AR2">
        <v>9</v>
      </c>
      <c r="AS2">
        <v>2</v>
      </c>
      <c r="AT2">
        <v>16</v>
      </c>
      <c r="AU2">
        <v>11</v>
      </c>
      <c r="AV2">
        <v>15</v>
      </c>
      <c r="AW2">
        <v>3</v>
      </c>
      <c r="AX2" s="7">
        <f>SUM(B2:AW2)</f>
        <v>341</v>
      </c>
      <c r="AY2">
        <f>AVERAGE(B2:AW2)</f>
        <v>7.104166666666667</v>
      </c>
    </row>
    <row r="3" spans="1:51">
      <c r="A3" s="1" t="s">
        <v>44</v>
      </c>
      <c r="B3">
        <v>1</v>
      </c>
      <c r="C3">
        <v>3</v>
      </c>
      <c r="D3">
        <v>0</v>
      </c>
      <c r="E3">
        <v>3</v>
      </c>
      <c r="F3">
        <v>6</v>
      </c>
      <c r="G3">
        <v>1</v>
      </c>
      <c r="H3">
        <v>3</v>
      </c>
      <c r="I3">
        <v>0</v>
      </c>
      <c r="J3">
        <v>0</v>
      </c>
      <c r="K3">
        <v>0</v>
      </c>
      <c r="L3">
        <v>3</v>
      </c>
      <c r="M3">
        <v>0</v>
      </c>
      <c r="N3">
        <v>0</v>
      </c>
      <c r="O3">
        <v>0</v>
      </c>
      <c r="P3">
        <v>3</v>
      </c>
      <c r="Q3">
        <v>3</v>
      </c>
      <c r="R3">
        <v>2</v>
      </c>
      <c r="S3">
        <v>2</v>
      </c>
      <c r="T3">
        <v>3</v>
      </c>
      <c r="U3">
        <v>0</v>
      </c>
      <c r="V3">
        <v>2</v>
      </c>
      <c r="W3">
        <v>0</v>
      </c>
      <c r="X3">
        <v>3</v>
      </c>
      <c r="Y3">
        <v>0</v>
      </c>
      <c r="Z3">
        <v>1</v>
      </c>
      <c r="AA3">
        <v>0</v>
      </c>
      <c r="AB3">
        <v>1</v>
      </c>
      <c r="AC3">
        <v>0</v>
      </c>
      <c r="AD3">
        <v>3</v>
      </c>
      <c r="AE3">
        <v>0</v>
      </c>
      <c r="AF3">
        <v>8</v>
      </c>
      <c r="AG3">
        <v>5</v>
      </c>
      <c r="AH3">
        <v>0</v>
      </c>
      <c r="AI3">
        <v>0</v>
      </c>
      <c r="AJ3">
        <v>0</v>
      </c>
      <c r="AK3">
        <v>3</v>
      </c>
      <c r="AL3">
        <v>0</v>
      </c>
      <c r="AM3">
        <v>0</v>
      </c>
      <c r="AN3">
        <v>0</v>
      </c>
      <c r="AO3">
        <v>1</v>
      </c>
      <c r="AP3">
        <v>3</v>
      </c>
      <c r="AQ3">
        <v>0</v>
      </c>
      <c r="AR3">
        <v>3</v>
      </c>
      <c r="AS3">
        <v>1</v>
      </c>
      <c r="AT3">
        <v>2</v>
      </c>
      <c r="AU3">
        <v>3</v>
      </c>
      <c r="AV3">
        <v>2</v>
      </c>
      <c r="AW3">
        <v>3</v>
      </c>
      <c r="AX3" s="8">
        <f>SUM(B3:AW3)</f>
        <v>77</v>
      </c>
      <c r="AY3">
        <f t="shared" ref="AY3:AY63" si="0">AVERAGE(B3:AW3)</f>
        <v>1.6041666666666667</v>
      </c>
    </row>
    <row r="4" spans="1:51">
      <c r="A4" s="2" t="s">
        <v>45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f>SUM(B4:AW4)</f>
        <v>2</v>
      </c>
      <c r="AY4">
        <f t="shared" si="0"/>
        <v>4.1666666666666664E-2</v>
      </c>
    </row>
    <row r="5" spans="1:51">
      <c r="A5" s="2" t="s">
        <v>46</v>
      </c>
      <c r="B5">
        <v>0</v>
      </c>
      <c r="C5">
        <v>5</v>
      </c>
      <c r="D5">
        <v>0</v>
      </c>
      <c r="E5">
        <v>0</v>
      </c>
      <c r="F5">
        <v>0</v>
      </c>
      <c r="G5">
        <v>0</v>
      </c>
      <c r="H5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2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1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f>SUM(B5:AW5)</f>
        <v>12</v>
      </c>
      <c r="AY5">
        <f t="shared" si="0"/>
        <v>0.25</v>
      </c>
    </row>
    <row r="6" spans="1:51">
      <c r="A6" s="2" t="s">
        <v>47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3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f>SUM(B6:AW6)</f>
        <v>5</v>
      </c>
      <c r="AY6">
        <f t="shared" si="0"/>
        <v>0.10416666666666667</v>
      </c>
    </row>
    <row r="7" spans="1:51">
      <c r="A7" s="2" t="s">
        <v>48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f t="shared" ref="AX7:AX63" si="1">SUM(B7:AW7)</f>
        <v>1</v>
      </c>
      <c r="AY7">
        <f t="shared" si="0"/>
        <v>2.0833333333333332E-2</v>
      </c>
    </row>
    <row r="8" spans="1:51">
      <c r="A8" s="2" t="s">
        <v>49</v>
      </c>
      <c r="B8">
        <v>0</v>
      </c>
      <c r="C8">
        <v>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7</v>
      </c>
      <c r="Q8">
        <v>8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2</v>
      </c>
      <c r="Y8">
        <v>0</v>
      </c>
      <c r="Z8">
        <v>0</v>
      </c>
      <c r="AA8">
        <v>0</v>
      </c>
      <c r="AB8">
        <v>0</v>
      </c>
      <c r="AC8">
        <v>0</v>
      </c>
      <c r="AD8">
        <v>10</v>
      </c>
      <c r="AE8">
        <v>0</v>
      </c>
      <c r="AF8">
        <v>2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8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4</v>
      </c>
      <c r="AX8">
        <f t="shared" si="1"/>
        <v>45</v>
      </c>
      <c r="AY8">
        <f t="shared" si="0"/>
        <v>0.9375</v>
      </c>
    </row>
    <row r="9" spans="1:51">
      <c r="A9" s="2" t="s">
        <v>50</v>
      </c>
      <c r="B9">
        <v>0</v>
      </c>
      <c r="C9">
        <v>1</v>
      </c>
      <c r="D9">
        <v>0</v>
      </c>
      <c r="E9">
        <v>1</v>
      </c>
      <c r="F9">
        <v>0</v>
      </c>
      <c r="G9">
        <v>0</v>
      </c>
      <c r="H9">
        <v>1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1</v>
      </c>
      <c r="Q9">
        <v>1</v>
      </c>
      <c r="R9">
        <v>1</v>
      </c>
      <c r="S9">
        <v>0</v>
      </c>
      <c r="T9">
        <v>1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1</v>
      </c>
      <c r="AC9">
        <v>0</v>
      </c>
      <c r="AD9">
        <v>0</v>
      </c>
      <c r="AE9">
        <v>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0</v>
      </c>
      <c r="AM9">
        <v>0</v>
      </c>
      <c r="AN9">
        <v>0</v>
      </c>
      <c r="AO9">
        <v>1</v>
      </c>
      <c r="AP9">
        <v>0</v>
      </c>
      <c r="AQ9">
        <v>0</v>
      </c>
      <c r="AR9">
        <v>1</v>
      </c>
      <c r="AS9">
        <v>1</v>
      </c>
      <c r="AT9">
        <v>0</v>
      </c>
      <c r="AU9">
        <v>1</v>
      </c>
      <c r="AV9">
        <v>1</v>
      </c>
      <c r="AW9">
        <v>1</v>
      </c>
      <c r="AX9">
        <f t="shared" si="1"/>
        <v>19</v>
      </c>
      <c r="AY9">
        <f t="shared" si="0"/>
        <v>0.39583333333333331</v>
      </c>
    </row>
    <row r="10" spans="1:51">
      <c r="A10" s="2" t="s">
        <v>51</v>
      </c>
      <c r="B10">
        <v>0</v>
      </c>
      <c r="C10">
        <v>0</v>
      </c>
      <c r="D10">
        <v>0</v>
      </c>
      <c r="E10">
        <v>5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5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2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2</v>
      </c>
      <c r="AS10">
        <v>0</v>
      </c>
      <c r="AT10">
        <v>0</v>
      </c>
      <c r="AU10">
        <v>0</v>
      </c>
      <c r="AV10">
        <v>0</v>
      </c>
      <c r="AW10">
        <v>0</v>
      </c>
      <c r="AX10">
        <f t="shared" si="1"/>
        <v>14</v>
      </c>
      <c r="AY10">
        <f t="shared" si="0"/>
        <v>0.29166666666666669</v>
      </c>
    </row>
    <row r="11" spans="1:51">
      <c r="A11" s="2" t="s">
        <v>52</v>
      </c>
      <c r="B11">
        <v>0</v>
      </c>
      <c r="C11">
        <v>2</v>
      </c>
      <c r="D11">
        <v>0</v>
      </c>
      <c r="E11">
        <v>0</v>
      </c>
      <c r="F11">
        <v>1</v>
      </c>
      <c r="G11">
        <v>8</v>
      </c>
      <c r="H11">
        <v>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2</v>
      </c>
      <c r="Q11">
        <v>2</v>
      </c>
      <c r="R11">
        <v>0</v>
      </c>
      <c r="S11">
        <v>0</v>
      </c>
      <c r="T11">
        <v>2</v>
      </c>
      <c r="U11">
        <v>0</v>
      </c>
      <c r="V11">
        <v>1</v>
      </c>
      <c r="W11">
        <v>0</v>
      </c>
      <c r="X11">
        <v>2</v>
      </c>
      <c r="Y11">
        <v>0</v>
      </c>
      <c r="Z11">
        <v>2</v>
      </c>
      <c r="AA11">
        <v>0</v>
      </c>
      <c r="AB11">
        <v>2</v>
      </c>
      <c r="AC11">
        <v>0</v>
      </c>
      <c r="AD11">
        <v>0</v>
      </c>
      <c r="AE11">
        <v>0</v>
      </c>
      <c r="AF11">
        <v>4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2</v>
      </c>
      <c r="AP11">
        <v>0</v>
      </c>
      <c r="AQ11">
        <v>0</v>
      </c>
      <c r="AR11">
        <v>2</v>
      </c>
      <c r="AS11">
        <v>0</v>
      </c>
      <c r="AT11">
        <v>5</v>
      </c>
      <c r="AU11">
        <v>0</v>
      </c>
      <c r="AV11">
        <v>2</v>
      </c>
      <c r="AW11">
        <v>0</v>
      </c>
      <c r="AX11">
        <f t="shared" si="1"/>
        <v>41</v>
      </c>
      <c r="AY11">
        <f t="shared" si="0"/>
        <v>0.85416666666666663</v>
      </c>
    </row>
    <row r="12" spans="1:51">
      <c r="A12" s="2" t="s">
        <v>53</v>
      </c>
      <c r="B12">
        <v>17</v>
      </c>
      <c r="C12">
        <v>0</v>
      </c>
      <c r="D12">
        <v>0</v>
      </c>
      <c r="E12">
        <v>26</v>
      </c>
      <c r="F12">
        <v>0</v>
      </c>
      <c r="G12">
        <v>4</v>
      </c>
      <c r="H12">
        <v>3</v>
      </c>
      <c r="I12">
        <v>0</v>
      </c>
      <c r="J12">
        <v>0</v>
      </c>
      <c r="K12">
        <v>0</v>
      </c>
      <c r="L12">
        <v>15</v>
      </c>
      <c r="M12">
        <v>0</v>
      </c>
      <c r="N12">
        <v>0</v>
      </c>
      <c r="O12">
        <v>0</v>
      </c>
      <c r="P12">
        <v>26</v>
      </c>
      <c r="Q12">
        <v>7</v>
      </c>
      <c r="R12">
        <v>0</v>
      </c>
      <c r="S12">
        <v>0</v>
      </c>
      <c r="T12">
        <v>12</v>
      </c>
      <c r="U12">
        <v>0</v>
      </c>
      <c r="V12">
        <v>18</v>
      </c>
      <c r="W12">
        <v>0</v>
      </c>
      <c r="X12">
        <v>29</v>
      </c>
      <c r="Y12">
        <v>0</v>
      </c>
      <c r="Z12">
        <v>0</v>
      </c>
      <c r="AA12">
        <v>0</v>
      </c>
      <c r="AB12">
        <v>32</v>
      </c>
      <c r="AC12">
        <v>0</v>
      </c>
      <c r="AD12">
        <v>11</v>
      </c>
      <c r="AE12">
        <v>0</v>
      </c>
      <c r="AF12">
        <v>8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23</v>
      </c>
      <c r="AP12">
        <v>1</v>
      </c>
      <c r="AQ12">
        <v>0</v>
      </c>
      <c r="AR12">
        <v>14</v>
      </c>
      <c r="AS12">
        <v>13</v>
      </c>
      <c r="AT12">
        <v>3</v>
      </c>
      <c r="AU12">
        <v>13</v>
      </c>
      <c r="AV12">
        <v>22</v>
      </c>
      <c r="AW12">
        <v>0</v>
      </c>
      <c r="AX12" s="7">
        <f t="shared" si="1"/>
        <v>297</v>
      </c>
      <c r="AY12">
        <f t="shared" si="0"/>
        <v>6.1875</v>
      </c>
    </row>
    <row r="13" spans="1:51">
      <c r="A13" s="2" t="s">
        <v>54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f t="shared" si="1"/>
        <v>1</v>
      </c>
      <c r="AY13">
        <f t="shared" si="0"/>
        <v>2.0833333333333332E-2</v>
      </c>
    </row>
    <row r="14" spans="1:51">
      <c r="A14" s="2" t="s">
        <v>55</v>
      </c>
      <c r="B14">
        <v>0</v>
      </c>
      <c r="C14">
        <v>0</v>
      </c>
      <c r="D14">
        <v>1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1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2</v>
      </c>
      <c r="X14">
        <v>0</v>
      </c>
      <c r="Y14">
        <v>1</v>
      </c>
      <c r="Z14">
        <v>0</v>
      </c>
      <c r="AA14">
        <v>1</v>
      </c>
      <c r="AB14">
        <v>0</v>
      </c>
      <c r="AC14">
        <v>1</v>
      </c>
      <c r="AD14">
        <v>0</v>
      </c>
      <c r="AE14">
        <v>1</v>
      </c>
      <c r="AF14">
        <v>0</v>
      </c>
      <c r="AG14">
        <v>0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0</v>
      </c>
      <c r="AP14">
        <v>0</v>
      </c>
      <c r="AQ14">
        <v>1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f t="shared" si="1"/>
        <v>22</v>
      </c>
      <c r="AY14">
        <f t="shared" si="0"/>
        <v>0.45833333333333331</v>
      </c>
    </row>
    <row r="15" spans="1:51">
      <c r="A15" s="2" t="s">
        <v>56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f t="shared" si="1"/>
        <v>1</v>
      </c>
      <c r="AY15">
        <f t="shared" si="0"/>
        <v>2.0833333333333332E-2</v>
      </c>
    </row>
    <row r="16" spans="1:51" ht="18.75" customHeight="1">
      <c r="A16" s="2" t="s">
        <v>57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1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f t="shared" si="1"/>
        <v>1</v>
      </c>
      <c r="AY16">
        <f t="shared" si="0"/>
        <v>2.0833333333333332E-2</v>
      </c>
    </row>
    <row r="17" spans="1:51">
      <c r="A17" s="2" t="s">
        <v>58</v>
      </c>
      <c r="B17">
        <v>0</v>
      </c>
      <c r="C17">
        <v>0</v>
      </c>
      <c r="D17">
        <v>0</v>
      </c>
      <c r="E17">
        <v>25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6</v>
      </c>
      <c r="W17">
        <v>11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5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11</v>
      </c>
      <c r="AW17">
        <v>0</v>
      </c>
      <c r="AX17" s="8">
        <f t="shared" si="1"/>
        <v>58</v>
      </c>
      <c r="AY17">
        <f t="shared" si="0"/>
        <v>1.2083333333333333</v>
      </c>
    </row>
    <row r="18" spans="1:51">
      <c r="A18" s="2" t="s">
        <v>59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1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f t="shared" si="1"/>
        <v>1</v>
      </c>
      <c r="AY18">
        <f t="shared" si="0"/>
        <v>2.0833333333333332E-2</v>
      </c>
    </row>
    <row r="19" spans="1:51">
      <c r="A19" s="2" t="s">
        <v>60</v>
      </c>
      <c r="B19">
        <v>9</v>
      </c>
      <c r="C19">
        <v>0</v>
      </c>
      <c r="D19">
        <v>19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4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f t="shared" si="1"/>
        <v>33</v>
      </c>
      <c r="AY19">
        <f t="shared" si="0"/>
        <v>0.6875</v>
      </c>
    </row>
    <row r="20" spans="1:51">
      <c r="A20" s="2" t="s">
        <v>61</v>
      </c>
      <c r="B20">
        <v>8</v>
      </c>
      <c r="C20">
        <v>0</v>
      </c>
      <c r="D20">
        <v>19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f t="shared" si="1"/>
        <v>29</v>
      </c>
      <c r="AY20">
        <f t="shared" si="0"/>
        <v>0.60416666666666663</v>
      </c>
    </row>
    <row r="21" spans="1:51">
      <c r="A21" s="2" t="s">
        <v>62</v>
      </c>
      <c r="B21">
        <v>0</v>
      </c>
      <c r="C21">
        <v>0</v>
      </c>
      <c r="D21">
        <v>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12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0</v>
      </c>
      <c r="AG21">
        <v>0</v>
      </c>
      <c r="AH21">
        <v>4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f t="shared" si="1"/>
        <v>29</v>
      </c>
      <c r="AY21">
        <f t="shared" si="0"/>
        <v>0.60416666666666663</v>
      </c>
    </row>
    <row r="22" spans="1:51">
      <c r="A22" s="2" t="s">
        <v>63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f t="shared" si="1"/>
        <v>1</v>
      </c>
      <c r="AY22">
        <f t="shared" si="0"/>
        <v>2.0833333333333332E-2</v>
      </c>
    </row>
    <row r="23" spans="1:51">
      <c r="A23" s="2" t="s">
        <v>64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f t="shared" si="1"/>
        <v>1</v>
      </c>
      <c r="AY23">
        <f t="shared" si="0"/>
        <v>2.0833333333333332E-2</v>
      </c>
    </row>
    <row r="24" spans="1:51">
      <c r="A24" s="2" t="s">
        <v>65</v>
      </c>
      <c r="B24">
        <v>0</v>
      </c>
      <c r="C24">
        <v>0</v>
      </c>
      <c r="D24">
        <v>0</v>
      </c>
      <c r="E24">
        <v>9</v>
      </c>
      <c r="F24">
        <v>0</v>
      </c>
      <c r="G24">
        <v>1</v>
      </c>
      <c r="H24">
        <v>0</v>
      </c>
      <c r="I24">
        <v>2</v>
      </c>
      <c r="J24">
        <v>8</v>
      </c>
      <c r="K24">
        <v>13</v>
      </c>
      <c r="L24">
        <v>0</v>
      </c>
      <c r="M24">
        <v>0</v>
      </c>
      <c r="N24">
        <v>0</v>
      </c>
      <c r="O24">
        <v>0</v>
      </c>
      <c r="P24">
        <v>20</v>
      </c>
      <c r="Q24">
        <v>6</v>
      </c>
      <c r="R24">
        <v>0</v>
      </c>
      <c r="S24">
        <v>0</v>
      </c>
      <c r="T24">
        <v>0</v>
      </c>
      <c r="U24">
        <v>0</v>
      </c>
      <c r="V24">
        <v>9</v>
      </c>
      <c r="W24">
        <v>0</v>
      </c>
      <c r="X24">
        <v>21</v>
      </c>
      <c r="Y24">
        <v>0</v>
      </c>
      <c r="Z24">
        <v>0</v>
      </c>
      <c r="AA24">
        <v>0</v>
      </c>
      <c r="AB24">
        <v>32</v>
      </c>
      <c r="AC24">
        <v>12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3</v>
      </c>
      <c r="AJ24">
        <v>0</v>
      </c>
      <c r="AK24">
        <v>0</v>
      </c>
      <c r="AL24">
        <v>16</v>
      </c>
      <c r="AM24">
        <v>0</v>
      </c>
      <c r="AN24">
        <v>6</v>
      </c>
      <c r="AO24">
        <v>15</v>
      </c>
      <c r="AP24">
        <v>0</v>
      </c>
      <c r="AQ24">
        <v>0</v>
      </c>
      <c r="AR24">
        <v>9</v>
      </c>
      <c r="AS24">
        <v>10</v>
      </c>
      <c r="AT24">
        <v>3</v>
      </c>
      <c r="AU24">
        <v>7</v>
      </c>
      <c r="AV24">
        <v>12</v>
      </c>
      <c r="AW24">
        <v>0</v>
      </c>
      <c r="AX24" s="7">
        <f t="shared" si="1"/>
        <v>214</v>
      </c>
      <c r="AY24">
        <f t="shared" si="0"/>
        <v>4.458333333333333</v>
      </c>
    </row>
    <row r="25" spans="1:51">
      <c r="A25" s="2" t="s">
        <v>66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4</v>
      </c>
      <c r="AT25">
        <v>0</v>
      </c>
      <c r="AU25">
        <v>0</v>
      </c>
      <c r="AV25">
        <v>0</v>
      </c>
      <c r="AW25">
        <v>0</v>
      </c>
      <c r="AX25">
        <f t="shared" si="1"/>
        <v>4</v>
      </c>
      <c r="AY25">
        <f t="shared" si="0"/>
        <v>8.3333333333333329E-2</v>
      </c>
    </row>
    <row r="26" spans="1:51">
      <c r="A26" s="2" t="s">
        <v>67</v>
      </c>
      <c r="B26">
        <v>0</v>
      </c>
      <c r="C26">
        <v>0</v>
      </c>
      <c r="D26">
        <v>0</v>
      </c>
      <c r="E26">
        <v>17</v>
      </c>
      <c r="F26">
        <v>0</v>
      </c>
      <c r="G26">
        <v>3</v>
      </c>
      <c r="H26">
        <v>3</v>
      </c>
      <c r="I26">
        <v>0</v>
      </c>
      <c r="J26">
        <v>20</v>
      </c>
      <c r="K26">
        <v>9</v>
      </c>
      <c r="L26">
        <v>15</v>
      </c>
      <c r="M26">
        <v>0</v>
      </c>
      <c r="N26">
        <v>0</v>
      </c>
      <c r="O26">
        <v>0</v>
      </c>
      <c r="P26">
        <v>6</v>
      </c>
      <c r="Q26">
        <v>1</v>
      </c>
      <c r="R26">
        <v>0</v>
      </c>
      <c r="S26">
        <v>0</v>
      </c>
      <c r="T26">
        <v>0</v>
      </c>
      <c r="U26">
        <v>7</v>
      </c>
      <c r="V26">
        <v>17</v>
      </c>
      <c r="W26">
        <v>2</v>
      </c>
      <c r="X26">
        <v>0</v>
      </c>
      <c r="Y26">
        <v>0</v>
      </c>
      <c r="Z26">
        <v>0</v>
      </c>
      <c r="AA26">
        <v>0</v>
      </c>
      <c r="AB26">
        <v>0</v>
      </c>
      <c r="AC26">
        <v>15</v>
      </c>
      <c r="AD26">
        <v>11</v>
      </c>
      <c r="AE26">
        <v>0</v>
      </c>
      <c r="AF26">
        <v>8</v>
      </c>
      <c r="AG26">
        <v>0</v>
      </c>
      <c r="AH26">
        <v>0</v>
      </c>
      <c r="AI26">
        <v>4</v>
      </c>
      <c r="AJ26">
        <v>0</v>
      </c>
      <c r="AK26">
        <v>0</v>
      </c>
      <c r="AL26">
        <v>0</v>
      </c>
      <c r="AM26">
        <v>0</v>
      </c>
      <c r="AN26">
        <v>18</v>
      </c>
      <c r="AO26">
        <v>8</v>
      </c>
      <c r="AP26">
        <v>1</v>
      </c>
      <c r="AQ26">
        <v>0</v>
      </c>
      <c r="AR26">
        <v>6</v>
      </c>
      <c r="AS26">
        <v>3</v>
      </c>
      <c r="AT26">
        <v>0</v>
      </c>
      <c r="AU26">
        <v>6</v>
      </c>
      <c r="AV26">
        <v>10</v>
      </c>
      <c r="AW26">
        <v>0</v>
      </c>
      <c r="AX26" s="7">
        <f t="shared" si="1"/>
        <v>190</v>
      </c>
      <c r="AY26">
        <f t="shared" si="0"/>
        <v>3.9583333333333335</v>
      </c>
    </row>
    <row r="27" spans="1:51">
      <c r="A27" s="2" t="s">
        <v>68</v>
      </c>
      <c r="B27">
        <v>0</v>
      </c>
      <c r="C27">
        <v>0</v>
      </c>
      <c r="D27">
        <v>6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4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3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f t="shared" si="1"/>
        <v>13</v>
      </c>
      <c r="AY27">
        <f t="shared" si="0"/>
        <v>0.27083333333333331</v>
      </c>
    </row>
    <row r="28" spans="1:51">
      <c r="A28" s="2" t="s">
        <v>69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f t="shared" si="1"/>
        <v>2</v>
      </c>
      <c r="AY28">
        <f t="shared" si="0"/>
        <v>4.1666666666666664E-2</v>
      </c>
    </row>
    <row r="29" spans="1:51">
      <c r="A29" s="2" t="s">
        <v>70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2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f t="shared" si="1"/>
        <v>2</v>
      </c>
      <c r="AY29">
        <f t="shared" si="0"/>
        <v>4.1666666666666664E-2</v>
      </c>
    </row>
    <row r="30" spans="1:51">
      <c r="A30" s="2" t="s">
        <v>71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2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  <c r="Z30">
        <v>0</v>
      </c>
      <c r="AA30">
        <v>0</v>
      </c>
      <c r="AB30">
        <v>21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1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f t="shared" si="1"/>
        <v>26</v>
      </c>
      <c r="AY30">
        <f t="shared" si="0"/>
        <v>0.54166666666666663</v>
      </c>
    </row>
    <row r="31" spans="1:51">
      <c r="A31" s="2" t="s">
        <v>72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f t="shared" si="1"/>
        <v>1</v>
      </c>
      <c r="AY31">
        <f t="shared" si="0"/>
        <v>2.0833333333333332E-2</v>
      </c>
    </row>
    <row r="32" spans="1:51">
      <c r="A32" s="2" t="s">
        <v>73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3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f t="shared" si="1"/>
        <v>3</v>
      </c>
      <c r="AY32">
        <f t="shared" si="0"/>
        <v>6.25E-2</v>
      </c>
    </row>
    <row r="33" spans="1:51">
      <c r="A33" s="2" t="s">
        <v>74</v>
      </c>
      <c r="B33">
        <v>0</v>
      </c>
      <c r="C33">
        <v>2</v>
      </c>
      <c r="D33">
        <v>0</v>
      </c>
      <c r="E33">
        <v>1</v>
      </c>
      <c r="F33">
        <v>0</v>
      </c>
      <c r="G33">
        <v>0</v>
      </c>
      <c r="H33">
        <v>2</v>
      </c>
      <c r="I33">
        <v>2</v>
      </c>
      <c r="J33">
        <v>1</v>
      </c>
      <c r="K33">
        <v>2</v>
      </c>
      <c r="L33">
        <v>2</v>
      </c>
      <c r="M33">
        <v>2</v>
      </c>
      <c r="N33">
        <v>2</v>
      </c>
      <c r="O33">
        <v>1</v>
      </c>
      <c r="P33">
        <v>1</v>
      </c>
      <c r="Q33">
        <v>2</v>
      </c>
      <c r="R33">
        <v>0</v>
      </c>
      <c r="S33">
        <v>1</v>
      </c>
      <c r="T33">
        <v>2</v>
      </c>
      <c r="U33">
        <v>0</v>
      </c>
      <c r="V33">
        <v>1</v>
      </c>
      <c r="W33">
        <v>3</v>
      </c>
      <c r="X33">
        <v>2</v>
      </c>
      <c r="Y33">
        <v>0</v>
      </c>
      <c r="Z33">
        <v>0</v>
      </c>
      <c r="AA33">
        <v>0</v>
      </c>
      <c r="AB33">
        <v>0</v>
      </c>
      <c r="AC33">
        <v>2</v>
      </c>
      <c r="AD33">
        <v>2</v>
      </c>
      <c r="AE33">
        <v>1</v>
      </c>
      <c r="AF33">
        <v>4</v>
      </c>
      <c r="AG33">
        <v>3</v>
      </c>
      <c r="AH33">
        <v>1</v>
      </c>
      <c r="AI33">
        <v>2</v>
      </c>
      <c r="AJ33">
        <v>2</v>
      </c>
      <c r="AK33">
        <v>1</v>
      </c>
      <c r="AL33">
        <v>1</v>
      </c>
      <c r="AM33">
        <v>2</v>
      </c>
      <c r="AN33">
        <v>0</v>
      </c>
      <c r="AO33">
        <v>0</v>
      </c>
      <c r="AP33">
        <v>2</v>
      </c>
      <c r="AQ33">
        <v>0</v>
      </c>
      <c r="AR33">
        <v>1</v>
      </c>
      <c r="AS33">
        <v>0</v>
      </c>
      <c r="AT33">
        <v>0</v>
      </c>
      <c r="AU33">
        <v>2</v>
      </c>
      <c r="AV33">
        <v>1</v>
      </c>
      <c r="AW33">
        <v>2</v>
      </c>
      <c r="AX33" s="8">
        <f t="shared" si="1"/>
        <v>58</v>
      </c>
      <c r="AY33">
        <f t="shared" si="0"/>
        <v>1.2083333333333333</v>
      </c>
    </row>
    <row r="34" spans="1:51">
      <c r="A34" s="2" t="s">
        <v>75</v>
      </c>
      <c r="B34">
        <v>0</v>
      </c>
      <c r="C34">
        <v>1</v>
      </c>
      <c r="D34">
        <v>0</v>
      </c>
      <c r="E34">
        <v>1</v>
      </c>
      <c r="F34">
        <v>0</v>
      </c>
      <c r="G34">
        <v>0</v>
      </c>
      <c r="H34">
        <v>0</v>
      </c>
      <c r="I34">
        <v>1</v>
      </c>
      <c r="J34">
        <v>1</v>
      </c>
      <c r="K34">
        <v>1</v>
      </c>
      <c r="L34">
        <v>1</v>
      </c>
      <c r="M34">
        <v>2</v>
      </c>
      <c r="N34">
        <v>2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0</v>
      </c>
      <c r="V34">
        <v>1</v>
      </c>
      <c r="W34">
        <v>1</v>
      </c>
      <c r="X34">
        <v>2</v>
      </c>
      <c r="Y34">
        <v>0</v>
      </c>
      <c r="Z34">
        <v>0</v>
      </c>
      <c r="AA34">
        <v>0</v>
      </c>
      <c r="AB34">
        <v>0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0</v>
      </c>
      <c r="AO34">
        <v>0</v>
      </c>
      <c r="AP34">
        <v>0</v>
      </c>
      <c r="AQ34">
        <v>1</v>
      </c>
      <c r="AR34">
        <v>1</v>
      </c>
      <c r="AS34">
        <v>0</v>
      </c>
      <c r="AT34">
        <v>1</v>
      </c>
      <c r="AU34">
        <v>1</v>
      </c>
      <c r="AV34">
        <v>1</v>
      </c>
      <c r="AW34">
        <v>1</v>
      </c>
      <c r="AX34">
        <f t="shared" si="1"/>
        <v>37</v>
      </c>
      <c r="AY34">
        <f t="shared" si="0"/>
        <v>0.77083333333333337</v>
      </c>
    </row>
    <row r="35" spans="1:51">
      <c r="A35" s="2" t="s">
        <v>76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f t="shared" si="1"/>
        <v>1</v>
      </c>
      <c r="AY35">
        <f t="shared" si="0"/>
        <v>2.0833333333333332E-2</v>
      </c>
    </row>
    <row r="36" spans="1:51">
      <c r="A36" s="2" t="s">
        <v>77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2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1</v>
      </c>
      <c r="AS36">
        <v>0</v>
      </c>
      <c r="AT36">
        <v>0</v>
      </c>
      <c r="AU36">
        <v>0</v>
      </c>
      <c r="AV36">
        <v>0</v>
      </c>
      <c r="AW36">
        <v>0</v>
      </c>
      <c r="AX36">
        <f t="shared" si="1"/>
        <v>6</v>
      </c>
      <c r="AY36">
        <f t="shared" si="0"/>
        <v>0.125</v>
      </c>
    </row>
    <row r="37" spans="1:51">
      <c r="A37" s="2" t="s">
        <v>78</v>
      </c>
      <c r="B37">
        <v>0</v>
      </c>
      <c r="C37">
        <v>0</v>
      </c>
      <c r="D37">
        <v>0</v>
      </c>
      <c r="E37">
        <v>5</v>
      </c>
      <c r="F37">
        <v>0</v>
      </c>
      <c r="G37">
        <v>0</v>
      </c>
      <c r="H37">
        <v>0</v>
      </c>
      <c r="I37">
        <v>0</v>
      </c>
      <c r="J37">
        <v>0</v>
      </c>
      <c r="K37">
        <v>4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3</v>
      </c>
      <c r="W37">
        <v>2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2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0</v>
      </c>
      <c r="AP37">
        <v>0</v>
      </c>
      <c r="AQ37">
        <v>0</v>
      </c>
      <c r="AR37">
        <v>4</v>
      </c>
      <c r="AS37">
        <v>0</v>
      </c>
      <c r="AT37">
        <v>0</v>
      </c>
      <c r="AU37">
        <v>0</v>
      </c>
      <c r="AV37">
        <v>0</v>
      </c>
      <c r="AW37">
        <v>0</v>
      </c>
      <c r="AX37">
        <f t="shared" si="1"/>
        <v>21</v>
      </c>
      <c r="AY37">
        <f t="shared" si="0"/>
        <v>0.4375</v>
      </c>
    </row>
    <row r="38" spans="1:51">
      <c r="A38" s="2" t="s">
        <v>79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8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2</v>
      </c>
      <c r="AK38">
        <v>0</v>
      </c>
      <c r="AL38">
        <v>0</v>
      </c>
      <c r="AM38">
        <v>0</v>
      </c>
      <c r="AN38">
        <v>4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f t="shared" si="1"/>
        <v>14</v>
      </c>
      <c r="AY38">
        <f t="shared" si="0"/>
        <v>0.29166666666666669</v>
      </c>
    </row>
    <row r="39" spans="1:51">
      <c r="A39" s="2" t="s">
        <v>80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2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f t="shared" si="1"/>
        <v>2</v>
      </c>
      <c r="AY39">
        <f t="shared" si="0"/>
        <v>4.1666666666666664E-2</v>
      </c>
    </row>
    <row r="40" spans="1:51">
      <c r="A40" s="2" t="s">
        <v>81</v>
      </c>
      <c r="B40">
        <v>0</v>
      </c>
      <c r="C40">
        <v>3</v>
      </c>
      <c r="D40">
        <v>0</v>
      </c>
      <c r="E40">
        <v>0</v>
      </c>
      <c r="F40">
        <v>0</v>
      </c>
      <c r="G40">
        <v>0</v>
      </c>
      <c r="H40">
        <v>2</v>
      </c>
      <c r="I40">
        <v>0</v>
      </c>
      <c r="J40">
        <v>0</v>
      </c>
      <c r="K40">
        <v>0</v>
      </c>
      <c r="L40">
        <v>0</v>
      </c>
      <c r="M40">
        <v>1</v>
      </c>
      <c r="N40">
        <v>2</v>
      </c>
      <c r="O40">
        <v>0</v>
      </c>
      <c r="P40">
        <v>0</v>
      </c>
      <c r="Q40">
        <v>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</v>
      </c>
      <c r="AF40">
        <v>1</v>
      </c>
      <c r="AG40">
        <v>1</v>
      </c>
      <c r="AH40">
        <v>0</v>
      </c>
      <c r="AI40">
        <v>2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f t="shared" si="1"/>
        <v>14</v>
      </c>
      <c r="AY40">
        <f t="shared" si="0"/>
        <v>0.29166666666666669</v>
      </c>
    </row>
    <row r="41" spans="1:51">
      <c r="A41" s="2" t="s">
        <v>82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1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f t="shared" si="1"/>
        <v>1</v>
      </c>
      <c r="AY41">
        <f t="shared" si="0"/>
        <v>2.0833333333333332E-2</v>
      </c>
    </row>
    <row r="42" spans="1:51">
      <c r="A42" s="2" t="s">
        <v>83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1</v>
      </c>
      <c r="AK42">
        <v>0</v>
      </c>
      <c r="AL42">
        <v>0</v>
      </c>
      <c r="AM42">
        <v>0</v>
      </c>
      <c r="AN42">
        <v>1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1</v>
      </c>
      <c r="AX42">
        <f t="shared" si="1"/>
        <v>4</v>
      </c>
      <c r="AY42">
        <f t="shared" si="0"/>
        <v>8.3333333333333329E-2</v>
      </c>
    </row>
    <row r="43" spans="1:51">
      <c r="A43" s="2" t="s">
        <v>84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1</v>
      </c>
      <c r="AV43">
        <v>1</v>
      </c>
      <c r="AW43">
        <v>0</v>
      </c>
      <c r="AX43">
        <f t="shared" si="1"/>
        <v>2</v>
      </c>
      <c r="AY43">
        <f t="shared" si="0"/>
        <v>4.1666666666666664E-2</v>
      </c>
    </row>
    <row r="44" spans="1:51">
      <c r="A44" s="2" t="s">
        <v>85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2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f t="shared" si="1"/>
        <v>3</v>
      </c>
      <c r="AY44">
        <f t="shared" si="0"/>
        <v>6.25E-2</v>
      </c>
    </row>
    <row r="45" spans="1:51">
      <c r="A45" s="2" t="s">
        <v>86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f t="shared" si="1"/>
        <v>1</v>
      </c>
      <c r="AY45">
        <f t="shared" si="0"/>
        <v>2.0833333333333332E-2</v>
      </c>
    </row>
    <row r="46" spans="1:51">
      <c r="A46" s="2" t="s">
        <v>87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f t="shared" si="1"/>
        <v>0</v>
      </c>
      <c r="AY46">
        <f t="shared" si="0"/>
        <v>0</v>
      </c>
    </row>
    <row r="47" spans="1:51">
      <c r="A47" s="2" t="s">
        <v>88</v>
      </c>
      <c r="B47">
        <v>0</v>
      </c>
      <c r="C47">
        <v>6</v>
      </c>
      <c r="D47">
        <v>0</v>
      </c>
      <c r="E47">
        <v>2</v>
      </c>
      <c r="F47">
        <v>4</v>
      </c>
      <c r="G47">
        <v>6</v>
      </c>
      <c r="H47">
        <v>4</v>
      </c>
      <c r="I47">
        <v>0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3</v>
      </c>
      <c r="Q47">
        <v>2</v>
      </c>
      <c r="R47">
        <v>0</v>
      </c>
      <c r="S47">
        <v>4</v>
      </c>
      <c r="T47">
        <v>2</v>
      </c>
      <c r="U47">
        <v>0</v>
      </c>
      <c r="V47">
        <v>5</v>
      </c>
      <c r="W47">
        <v>0</v>
      </c>
      <c r="X47">
        <v>4</v>
      </c>
      <c r="Y47">
        <v>0</v>
      </c>
      <c r="Z47">
        <v>2</v>
      </c>
      <c r="AA47">
        <v>0</v>
      </c>
      <c r="AB47">
        <v>0</v>
      </c>
      <c r="AC47">
        <v>0</v>
      </c>
      <c r="AD47">
        <v>4</v>
      </c>
      <c r="AE47">
        <v>0</v>
      </c>
      <c r="AF47">
        <v>6</v>
      </c>
      <c r="AG47">
        <v>2</v>
      </c>
      <c r="AH47">
        <v>0</v>
      </c>
      <c r="AI47">
        <v>0</v>
      </c>
      <c r="AJ47">
        <v>0</v>
      </c>
      <c r="AK47">
        <v>4</v>
      </c>
      <c r="AL47">
        <v>0</v>
      </c>
      <c r="AM47">
        <v>0</v>
      </c>
      <c r="AN47">
        <v>0</v>
      </c>
      <c r="AO47">
        <v>7</v>
      </c>
      <c r="AP47">
        <v>0</v>
      </c>
      <c r="AQ47">
        <v>0</v>
      </c>
      <c r="AR47">
        <v>4</v>
      </c>
      <c r="AS47">
        <v>0</v>
      </c>
      <c r="AT47">
        <v>2</v>
      </c>
      <c r="AU47">
        <v>2</v>
      </c>
      <c r="AV47">
        <v>6</v>
      </c>
      <c r="AW47">
        <v>4</v>
      </c>
      <c r="AX47" s="8">
        <f t="shared" si="1"/>
        <v>87</v>
      </c>
      <c r="AY47">
        <f t="shared" si="0"/>
        <v>1.8125</v>
      </c>
    </row>
    <row r="48" spans="1:51">
      <c r="A48" s="2" t="s">
        <v>89</v>
      </c>
      <c r="B48">
        <v>0</v>
      </c>
      <c r="C48">
        <v>0</v>
      </c>
      <c r="D48">
        <v>0</v>
      </c>
      <c r="E48">
        <v>25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14</v>
      </c>
      <c r="AW48">
        <v>0</v>
      </c>
      <c r="AX48">
        <f t="shared" si="1"/>
        <v>45</v>
      </c>
      <c r="AY48">
        <f t="shared" si="0"/>
        <v>0.9375</v>
      </c>
    </row>
    <row r="49" spans="1:51">
      <c r="A49" s="2" t="s">
        <v>90</v>
      </c>
      <c r="B49">
        <v>0</v>
      </c>
      <c r="C49">
        <v>17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21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38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53</v>
      </c>
      <c r="AG49">
        <v>31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18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 s="7">
        <f t="shared" si="1"/>
        <v>178</v>
      </c>
      <c r="AY49">
        <f t="shared" si="0"/>
        <v>3.7083333333333335</v>
      </c>
    </row>
    <row r="50" spans="1:51">
      <c r="A50" s="2" t="s">
        <v>91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1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f t="shared" si="1"/>
        <v>1</v>
      </c>
      <c r="AY50">
        <f t="shared" si="0"/>
        <v>2.0833333333333332E-2</v>
      </c>
    </row>
    <row r="51" spans="1:51">
      <c r="A51" s="2" t="s">
        <v>92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f t="shared" si="1"/>
        <v>7</v>
      </c>
      <c r="AY51">
        <f t="shared" si="0"/>
        <v>0.14583333333333334</v>
      </c>
    </row>
    <row r="52" spans="1:51">
      <c r="A52" s="2" t="s">
        <v>93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1</v>
      </c>
      <c r="R52">
        <v>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4</v>
      </c>
      <c r="AE52">
        <v>0</v>
      </c>
      <c r="AF52">
        <v>0</v>
      </c>
      <c r="AG52">
        <v>1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4</v>
      </c>
      <c r="AW52">
        <v>0</v>
      </c>
      <c r="AX52">
        <f t="shared" si="1"/>
        <v>13</v>
      </c>
      <c r="AY52">
        <f t="shared" si="0"/>
        <v>0.27083333333333331</v>
      </c>
    </row>
    <row r="53" spans="1:51">
      <c r="A53" s="2" t="s">
        <v>94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2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f t="shared" si="1"/>
        <v>3</v>
      </c>
      <c r="AY53">
        <f t="shared" si="0"/>
        <v>6.25E-2</v>
      </c>
    </row>
    <row r="54" spans="1:51">
      <c r="A54" s="2" t="s">
        <v>95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1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f t="shared" si="1"/>
        <v>1</v>
      </c>
      <c r="AY54">
        <f t="shared" si="0"/>
        <v>2.0833333333333332E-2</v>
      </c>
    </row>
    <row r="55" spans="1:51">
      <c r="A55" s="2" t="s">
        <v>96</v>
      </c>
      <c r="B55">
        <v>0</v>
      </c>
      <c r="C55">
        <v>0</v>
      </c>
      <c r="D55">
        <v>0</v>
      </c>
      <c r="E55">
        <v>0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4</v>
      </c>
      <c r="M55">
        <v>0</v>
      </c>
      <c r="N55">
        <v>0</v>
      </c>
      <c r="O55">
        <v>0</v>
      </c>
      <c r="P55">
        <v>0</v>
      </c>
      <c r="Q55">
        <v>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2</v>
      </c>
      <c r="AG55">
        <v>5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f t="shared" si="1"/>
        <v>13</v>
      </c>
      <c r="AY55">
        <f t="shared" si="0"/>
        <v>0.27083333333333331</v>
      </c>
    </row>
    <row r="56" spans="1:51">
      <c r="A56" s="2" t="s">
        <v>97</v>
      </c>
      <c r="B56">
        <v>0</v>
      </c>
      <c r="C56">
        <v>3</v>
      </c>
      <c r="D56">
        <v>0</v>
      </c>
      <c r="E56">
        <v>8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5</v>
      </c>
      <c r="Q56">
        <v>5</v>
      </c>
      <c r="R56">
        <v>3</v>
      </c>
      <c r="S56">
        <v>3</v>
      </c>
      <c r="T56">
        <v>7</v>
      </c>
      <c r="U56">
        <v>0</v>
      </c>
      <c r="V56">
        <v>2</v>
      </c>
      <c r="W56">
        <v>0</v>
      </c>
      <c r="X56">
        <v>2</v>
      </c>
      <c r="Y56">
        <v>0</v>
      </c>
      <c r="Z56">
        <v>0</v>
      </c>
      <c r="AA56">
        <v>0</v>
      </c>
      <c r="AB56">
        <v>0</v>
      </c>
      <c r="AC56">
        <v>0</v>
      </c>
      <c r="AD56">
        <v>2</v>
      </c>
      <c r="AE56">
        <v>0</v>
      </c>
      <c r="AF56">
        <v>0</v>
      </c>
      <c r="AG56">
        <v>3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2</v>
      </c>
      <c r="AQ56">
        <v>0</v>
      </c>
      <c r="AR56">
        <v>0</v>
      </c>
      <c r="AS56">
        <v>0</v>
      </c>
      <c r="AT56">
        <v>5</v>
      </c>
      <c r="AU56">
        <v>4</v>
      </c>
      <c r="AV56">
        <v>2</v>
      </c>
      <c r="AW56">
        <v>2</v>
      </c>
      <c r="AX56" s="8">
        <f t="shared" si="1"/>
        <v>60</v>
      </c>
      <c r="AY56">
        <f t="shared" si="0"/>
        <v>1.25</v>
      </c>
    </row>
    <row r="57" spans="1:51">
      <c r="A57" s="2" t="s">
        <v>98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1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f t="shared" si="1"/>
        <v>1</v>
      </c>
      <c r="AY57">
        <f t="shared" si="0"/>
        <v>2.0833333333333332E-2</v>
      </c>
    </row>
    <row r="58" spans="1:51">
      <c r="A58" s="2" t="s">
        <v>99</v>
      </c>
      <c r="B58">
        <v>0</v>
      </c>
      <c r="C58">
        <v>19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21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38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53</v>
      </c>
      <c r="AG58">
        <v>31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18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 s="7">
        <f t="shared" si="1"/>
        <v>180</v>
      </c>
      <c r="AY58">
        <f t="shared" si="0"/>
        <v>3.75</v>
      </c>
    </row>
    <row r="59" spans="1:51">
      <c r="A59" s="2" t="s">
        <v>100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1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1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</v>
      </c>
      <c r="AF59">
        <v>1</v>
      </c>
      <c r="AG59">
        <v>0</v>
      </c>
      <c r="AH59">
        <v>0</v>
      </c>
      <c r="AI59">
        <v>0</v>
      </c>
      <c r="AJ59">
        <v>3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8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f t="shared" si="1"/>
        <v>16</v>
      </c>
      <c r="AY59">
        <f t="shared" si="0"/>
        <v>0.33333333333333331</v>
      </c>
    </row>
    <row r="60" spans="1:51">
      <c r="A60" s="2" t="s">
        <v>101</v>
      </c>
      <c r="B60">
        <v>0</v>
      </c>
      <c r="C60">
        <v>1</v>
      </c>
      <c r="D60">
        <v>0</v>
      </c>
      <c r="E60">
        <v>1</v>
      </c>
      <c r="F60">
        <v>0</v>
      </c>
      <c r="G60">
        <v>0</v>
      </c>
      <c r="H60">
        <v>1</v>
      </c>
      <c r="I60">
        <v>1</v>
      </c>
      <c r="J60">
        <v>1</v>
      </c>
      <c r="K60">
        <v>0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0</v>
      </c>
      <c r="T60">
        <v>1</v>
      </c>
      <c r="U60">
        <v>1</v>
      </c>
      <c r="V60">
        <v>1</v>
      </c>
      <c r="W60">
        <v>2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0</v>
      </c>
      <c r="AE60">
        <v>1</v>
      </c>
      <c r="AF60">
        <v>1</v>
      </c>
      <c r="AG60">
        <v>1</v>
      </c>
      <c r="AH60">
        <v>1</v>
      </c>
      <c r="AI60">
        <v>0</v>
      </c>
      <c r="AJ60">
        <v>1</v>
      </c>
      <c r="AK60">
        <v>2</v>
      </c>
      <c r="AL60">
        <v>1</v>
      </c>
      <c r="AM60">
        <v>1</v>
      </c>
      <c r="AN60">
        <v>1</v>
      </c>
      <c r="AO60">
        <v>1</v>
      </c>
      <c r="AP60">
        <v>0</v>
      </c>
      <c r="AQ60">
        <v>0</v>
      </c>
      <c r="AR60">
        <v>1</v>
      </c>
      <c r="AS60">
        <v>1</v>
      </c>
      <c r="AT60">
        <v>0</v>
      </c>
      <c r="AU60">
        <v>1</v>
      </c>
      <c r="AV60">
        <v>1</v>
      </c>
      <c r="AW60">
        <v>1</v>
      </c>
      <c r="AX60">
        <f t="shared" si="1"/>
        <v>36</v>
      </c>
      <c r="AY60">
        <f t="shared" si="0"/>
        <v>0.75</v>
      </c>
    </row>
    <row r="61" spans="1:51">
      <c r="A61" s="2" t="s">
        <v>102</v>
      </c>
      <c r="B61">
        <v>0</v>
      </c>
      <c r="C61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3</v>
      </c>
      <c r="L61">
        <v>0</v>
      </c>
      <c r="M61">
        <v>1</v>
      </c>
      <c r="N61">
        <v>2</v>
      </c>
      <c r="O61">
        <v>2</v>
      </c>
      <c r="P61">
        <v>7</v>
      </c>
      <c r="Q61">
        <v>8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10</v>
      </c>
      <c r="AE61">
        <v>2</v>
      </c>
      <c r="AF61">
        <v>1</v>
      </c>
      <c r="AG61">
        <v>0</v>
      </c>
      <c r="AH61">
        <v>0</v>
      </c>
      <c r="AI61">
        <v>0</v>
      </c>
      <c r="AJ61">
        <v>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1</v>
      </c>
      <c r="AU61">
        <v>0</v>
      </c>
      <c r="AV61">
        <v>0</v>
      </c>
      <c r="AW61">
        <v>4</v>
      </c>
      <c r="AX61">
        <f t="shared" si="1"/>
        <v>45</v>
      </c>
      <c r="AY61">
        <f t="shared" si="0"/>
        <v>0.9375</v>
      </c>
    </row>
    <row r="62" spans="1:51">
      <c r="A62" s="2" t="s">
        <v>103</v>
      </c>
      <c r="B62">
        <v>0</v>
      </c>
      <c r="C62">
        <v>0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f t="shared" si="1"/>
        <v>2</v>
      </c>
      <c r="AY62">
        <f t="shared" si="0"/>
        <v>4.1666666666666664E-2</v>
      </c>
    </row>
    <row r="63" spans="1:51">
      <c r="A63" s="1" t="s">
        <v>104</v>
      </c>
      <c r="B63">
        <v>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f t="shared" si="1"/>
        <v>4</v>
      </c>
      <c r="AY63">
        <f t="shared" si="0"/>
        <v>8.3333333333333329E-2</v>
      </c>
    </row>
    <row r="64" spans="1:51">
      <c r="A64" s="2" t="s">
        <v>107</v>
      </c>
      <c r="B64" s="8">
        <f>SUM(B2:B63)</f>
        <v>53</v>
      </c>
      <c r="C64" s="8">
        <f t="shared" ref="C64:AX64" si="2">SUM(C2:C63)</f>
        <v>82</v>
      </c>
      <c r="D64" s="8">
        <f t="shared" si="2"/>
        <v>55</v>
      </c>
      <c r="E64" s="7">
        <f t="shared" si="2"/>
        <v>139</v>
      </c>
      <c r="F64">
        <f t="shared" si="2"/>
        <v>16</v>
      </c>
      <c r="G64">
        <f t="shared" si="2"/>
        <v>36</v>
      </c>
      <c r="H64">
        <f t="shared" si="2"/>
        <v>36</v>
      </c>
      <c r="I64" s="9">
        <f t="shared" si="2"/>
        <v>7</v>
      </c>
      <c r="J64">
        <f t="shared" si="2"/>
        <v>32</v>
      </c>
      <c r="K64">
        <f t="shared" si="2"/>
        <v>34</v>
      </c>
      <c r="L64" s="7">
        <f t="shared" si="2"/>
        <v>104</v>
      </c>
      <c r="M64" s="9">
        <f t="shared" si="2"/>
        <v>8</v>
      </c>
      <c r="N64">
        <f t="shared" si="2"/>
        <v>11</v>
      </c>
      <c r="O64" s="9">
        <f t="shared" si="2"/>
        <v>8</v>
      </c>
      <c r="P64" s="8">
        <f t="shared" si="2"/>
        <v>98</v>
      </c>
      <c r="Q64" s="8">
        <f t="shared" si="2"/>
        <v>67</v>
      </c>
      <c r="R64">
        <f t="shared" si="2"/>
        <v>22</v>
      </c>
      <c r="S64">
        <f t="shared" si="2"/>
        <v>18</v>
      </c>
      <c r="T64" s="7">
        <f t="shared" si="2"/>
        <v>130</v>
      </c>
      <c r="U64">
        <f t="shared" si="2"/>
        <v>10</v>
      </c>
      <c r="V64" s="7">
        <f t="shared" si="2"/>
        <v>102</v>
      </c>
      <c r="W64">
        <f t="shared" si="2"/>
        <v>33</v>
      </c>
      <c r="X64" s="8">
        <f t="shared" si="2"/>
        <v>96</v>
      </c>
      <c r="Y64" s="9">
        <f t="shared" si="2"/>
        <v>1</v>
      </c>
      <c r="Z64" s="10">
        <f t="shared" si="2"/>
        <v>12</v>
      </c>
      <c r="AA64" s="9">
        <f t="shared" si="2"/>
        <v>2</v>
      </c>
      <c r="AB64" s="7">
        <f t="shared" si="2"/>
        <v>113</v>
      </c>
      <c r="AC64">
        <f t="shared" si="2"/>
        <v>32</v>
      </c>
      <c r="AD64" s="8">
        <f t="shared" si="2"/>
        <v>75</v>
      </c>
      <c r="AE64">
        <f t="shared" si="2"/>
        <v>12</v>
      </c>
      <c r="AF64" s="7">
        <f t="shared" si="2"/>
        <v>199</v>
      </c>
      <c r="AG64" s="7">
        <f t="shared" si="2"/>
        <v>107</v>
      </c>
      <c r="AH64" s="10">
        <f t="shared" si="2"/>
        <v>11</v>
      </c>
      <c r="AI64">
        <f t="shared" si="2"/>
        <v>13</v>
      </c>
      <c r="AJ64">
        <f t="shared" si="2"/>
        <v>13</v>
      </c>
      <c r="AK64">
        <f t="shared" si="2"/>
        <v>31</v>
      </c>
      <c r="AL64">
        <f t="shared" si="2"/>
        <v>20</v>
      </c>
      <c r="AM64" s="9">
        <f t="shared" si="2"/>
        <v>5</v>
      </c>
      <c r="AN64">
        <f t="shared" si="2"/>
        <v>38</v>
      </c>
      <c r="AO64" s="7">
        <f t="shared" si="2"/>
        <v>109</v>
      </c>
      <c r="AP64">
        <f t="shared" si="2"/>
        <v>35</v>
      </c>
      <c r="AQ64" s="9">
        <f t="shared" si="2"/>
        <v>2</v>
      </c>
      <c r="AR64" s="8">
        <f t="shared" si="2"/>
        <v>58</v>
      </c>
      <c r="AS64">
        <f t="shared" si="2"/>
        <v>35</v>
      </c>
      <c r="AT64">
        <f t="shared" si="2"/>
        <v>39</v>
      </c>
      <c r="AU64" s="8">
        <f t="shared" si="2"/>
        <v>52</v>
      </c>
      <c r="AV64" s="7">
        <f t="shared" si="2"/>
        <v>105</v>
      </c>
      <c r="AW64">
        <f t="shared" si="2"/>
        <v>26</v>
      </c>
      <c r="AX64">
        <f t="shared" si="2"/>
        <v>2342</v>
      </c>
    </row>
    <row r="65" spans="1:63">
      <c r="A65" s="2" t="s">
        <v>105</v>
      </c>
      <c r="B65">
        <f>AVERAGE(B64:AW64)</f>
        <v>48.791666666666664</v>
      </c>
    </row>
    <row r="67" spans="1:63">
      <c r="A67" s="4"/>
    </row>
    <row r="68" spans="1:63">
      <c r="A68" s="4"/>
      <c r="AY68" s="12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</row>
    <row r="69" spans="1:63">
      <c r="A69" s="4"/>
      <c r="AY69" s="12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</row>
    <row r="70" spans="1:63">
      <c r="A70" s="4"/>
      <c r="AY70" s="12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</row>
    <row r="71" spans="1:63">
      <c r="A71" s="2"/>
      <c r="AY71" s="12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</row>
    <row r="72" spans="1:63">
      <c r="A72" s="4"/>
      <c r="AY72" s="12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</row>
    <row r="73" spans="1:63">
      <c r="A73" s="3"/>
      <c r="AY73" s="12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</row>
    <row r="74" spans="1:63">
      <c r="A74" s="4"/>
      <c r="AY74" s="12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</row>
    <row r="75" spans="1:63">
      <c r="A75" s="4"/>
      <c r="AY75" s="12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</row>
    <row r="76" spans="1:63">
      <c r="A76" s="4"/>
      <c r="AY76" s="12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</row>
    <row r="77" spans="1:63">
      <c r="A77" s="4"/>
      <c r="AY77" s="12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</row>
    <row r="78" spans="1:63">
      <c r="A78" s="4"/>
      <c r="AY78" s="12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</row>
    <row r="79" spans="1:63">
      <c r="A79" s="4"/>
      <c r="AY79" s="12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>
      <c r="A80" s="4"/>
      <c r="AY80" s="12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</row>
    <row r="81" spans="1:63">
      <c r="A81" s="4"/>
      <c r="AY81" s="12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</row>
    <row r="82" spans="1:63">
      <c r="A82" s="4"/>
      <c r="AY82" s="12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</row>
    <row r="83" spans="1:63">
      <c r="A83" s="4"/>
      <c r="AY83" s="12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</row>
    <row r="84" spans="1:63">
      <c r="A84" s="4"/>
      <c r="AY84" s="12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</row>
    <row r="85" spans="1:63">
      <c r="A85" s="4"/>
      <c r="AY85" s="12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</row>
    <row r="86" spans="1:63">
      <c r="A86" s="4"/>
      <c r="AY86" s="12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>
      <c r="A87" s="4"/>
      <c r="AY87" s="12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</row>
    <row r="88" spans="1:63">
      <c r="A88" s="4"/>
      <c r="AY88" s="12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</row>
    <row r="89" spans="1:63">
      <c r="A89" s="4"/>
      <c r="AY89" s="12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</row>
    <row r="90" spans="1:63">
      <c r="A90" s="4"/>
      <c r="AY90" s="12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</row>
    <row r="91" spans="1:63">
      <c r="A91" s="2"/>
      <c r="AY91" s="12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>
      <c r="A92" s="2"/>
      <c r="AY92" s="12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</row>
    <row r="93" spans="1:63">
      <c r="A93" s="2"/>
      <c r="AY93" s="12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</row>
    <row r="94" spans="1:63">
      <c r="A94" s="4"/>
      <c r="AY94" s="12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</row>
    <row r="95" spans="1:63">
      <c r="A95" s="4"/>
      <c r="AY95" s="12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>
      <c r="A96" s="4"/>
      <c r="AY96" s="12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</row>
    <row r="97" spans="1:63">
      <c r="A97" s="4"/>
      <c r="AY97" s="12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>
      <c r="A98" s="4"/>
      <c r="AY98" s="12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</row>
    <row r="99" spans="1:63">
      <c r="A99" s="4"/>
      <c r="AY99" s="12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</row>
    <row r="100" spans="1:63">
      <c r="A100" s="4"/>
      <c r="AY100" s="12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</row>
    <row r="101" spans="1:63">
      <c r="A101" s="4"/>
      <c r="AY101" s="12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>
      <c r="A102" s="4"/>
      <c r="AY102" s="12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</row>
    <row r="103" spans="1:63">
      <c r="A103" s="4"/>
      <c r="AY103" s="12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>
      <c r="A104" s="4"/>
      <c r="AY104" s="12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>
      <c r="A105" s="4"/>
      <c r="AY105" s="12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>
      <c r="A106" s="4"/>
      <c r="AY106" s="12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>
      <c r="A107" s="4"/>
      <c r="AY107" s="12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>
      <c r="A108" s="4"/>
      <c r="AY108" s="12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>
      <c r="A109" s="4"/>
      <c r="AY109" s="12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>
      <c r="A110" s="4"/>
      <c r="AY110" s="12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>
      <c r="A111" s="4"/>
      <c r="AY111" s="12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>
      <c r="A112" s="4"/>
      <c r="AY112" s="12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51:63">
      <c r="AY113" s="12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51:63">
      <c r="AY114" s="12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51:63">
      <c r="AY115" s="12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51:63">
      <c r="AY116" s="12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51:63">
      <c r="AY117" s="12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51:63">
      <c r="AY118" s="12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51:63">
      <c r="AY119" s="12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51:63">
      <c r="AY120" s="12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51:63">
      <c r="AY121" s="12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51:63">
      <c r="AY122" s="12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51:63">
      <c r="AY123" s="12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51:63">
      <c r="AY124" s="12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51:63">
      <c r="AY125" s="12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51:63">
      <c r="AY126" s="12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51:63">
      <c r="AY127" s="12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51:63">
      <c r="AY128" s="12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51:63">
      <c r="AY129" s="12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51:63">
      <c r="AY130" s="12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51:63">
      <c r="AY131" s="12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</sheetData>
  <dataConsolidate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80"/>
  <sheetViews>
    <sheetView topLeftCell="A10" zoomScale="90" zoomScaleNormal="90" workbookViewId="0">
      <selection sqref="A1:AY12"/>
    </sheetView>
  </sheetViews>
  <sheetFormatPr defaultRowHeight="16.5" outlineLevelRow="1"/>
  <cols>
    <col min="1" max="1" width="17.5" customWidth="1"/>
    <col min="2" max="2" width="6" style="15" customWidth="1"/>
    <col min="3" max="3" width="5.5" style="16" customWidth="1"/>
  </cols>
  <sheetData>
    <row r="1" spans="1:51" s="24" customFormat="1" ht="30" thickTop="1" thickBot="1">
      <c r="A1" s="17" t="s">
        <v>114</v>
      </c>
      <c r="B1" s="18" t="s">
        <v>172</v>
      </c>
      <c r="C1" s="19" t="s">
        <v>105</v>
      </c>
      <c r="D1" s="20" t="s">
        <v>36</v>
      </c>
      <c r="E1" s="21" t="s">
        <v>42</v>
      </c>
      <c r="F1" s="22" t="s">
        <v>5</v>
      </c>
      <c r="G1" s="23" t="s">
        <v>109</v>
      </c>
      <c r="H1" s="21" t="s">
        <v>386</v>
      </c>
      <c r="I1" s="23" t="s">
        <v>23</v>
      </c>
      <c r="J1" s="21" t="s">
        <v>30</v>
      </c>
      <c r="K1" s="21" t="s">
        <v>111</v>
      </c>
      <c r="L1" s="21" t="s">
        <v>0</v>
      </c>
      <c r="M1" s="21" t="s">
        <v>6</v>
      </c>
      <c r="N1" s="23" t="s">
        <v>11</v>
      </c>
      <c r="O1" s="21" t="s">
        <v>112</v>
      </c>
      <c r="P1" s="21" t="s">
        <v>24</v>
      </c>
      <c r="Q1" s="21" t="s">
        <v>31</v>
      </c>
      <c r="R1" s="21" t="s">
        <v>37</v>
      </c>
      <c r="S1" s="23" t="s">
        <v>1</v>
      </c>
      <c r="T1" s="23" t="s">
        <v>7</v>
      </c>
      <c r="U1" s="21" t="s">
        <v>12</v>
      </c>
      <c r="V1" s="23" t="s">
        <v>18</v>
      </c>
      <c r="W1" s="21" t="s">
        <v>25</v>
      </c>
      <c r="X1" s="21" t="s">
        <v>110</v>
      </c>
      <c r="Y1" s="21" t="s">
        <v>38</v>
      </c>
      <c r="Z1" s="23" t="s">
        <v>2</v>
      </c>
      <c r="AA1" s="23" t="s">
        <v>113</v>
      </c>
      <c r="AB1" s="23" t="s">
        <v>13</v>
      </c>
      <c r="AC1" s="21" t="s">
        <v>19</v>
      </c>
      <c r="AD1" s="21" t="s">
        <v>26</v>
      </c>
      <c r="AE1" s="21" t="s">
        <v>32</v>
      </c>
      <c r="AF1" s="21" t="s">
        <v>3</v>
      </c>
      <c r="AG1" s="21" t="s">
        <v>8</v>
      </c>
      <c r="AH1" s="23" t="s">
        <v>14</v>
      </c>
      <c r="AI1" s="21" t="s">
        <v>20</v>
      </c>
      <c r="AJ1" s="21" t="s">
        <v>27</v>
      </c>
      <c r="AK1" s="21" t="s">
        <v>33</v>
      </c>
      <c r="AL1" s="23" t="s">
        <v>39</v>
      </c>
      <c r="AM1" s="23" t="s">
        <v>4</v>
      </c>
      <c r="AN1" s="23" t="s">
        <v>9</v>
      </c>
      <c r="AO1" s="23" t="s">
        <v>15</v>
      </c>
      <c r="AP1" s="21" t="s">
        <v>21</v>
      </c>
      <c r="AQ1" s="21" t="s">
        <v>28</v>
      </c>
      <c r="AR1" s="21" t="s">
        <v>34</v>
      </c>
      <c r="AS1" s="21" t="s">
        <v>40</v>
      </c>
      <c r="AT1" s="21" t="s">
        <v>10</v>
      </c>
      <c r="AU1" s="21" t="s">
        <v>16</v>
      </c>
      <c r="AV1" s="23" t="s">
        <v>22</v>
      </c>
      <c r="AW1" s="21" t="s">
        <v>29</v>
      </c>
      <c r="AX1" s="21" t="s">
        <v>35</v>
      </c>
      <c r="AY1" s="23" t="s">
        <v>41</v>
      </c>
    </row>
    <row r="2" spans="1:51" s="25" customFormat="1" ht="20.25" thickTop="1">
      <c r="A2" s="25" t="s">
        <v>118</v>
      </c>
      <c r="B2" s="26">
        <f>SUM(D2:AY2)</f>
        <v>465</v>
      </c>
      <c r="C2" s="27">
        <f>AVERAGE(D2:AY2)</f>
        <v>9.6875</v>
      </c>
      <c r="D2" s="25">
        <f t="shared" ref="D2:AY2" si="0">SUM(D3:D12)</f>
        <v>0</v>
      </c>
      <c r="E2" s="25">
        <f t="shared" si="0"/>
        <v>36</v>
      </c>
      <c r="F2" s="25">
        <f t="shared" si="0"/>
        <v>0</v>
      </c>
      <c r="G2" s="25">
        <f t="shared" si="0"/>
        <v>50</v>
      </c>
      <c r="H2" s="25">
        <f t="shared" si="0"/>
        <v>0</v>
      </c>
      <c r="I2" s="25">
        <f t="shared" si="0"/>
        <v>0</v>
      </c>
      <c r="J2" s="25">
        <f t="shared" si="0"/>
        <v>0</v>
      </c>
      <c r="K2" s="25">
        <f t="shared" si="0"/>
        <v>0</v>
      </c>
      <c r="L2" s="25">
        <f t="shared" si="0"/>
        <v>0</v>
      </c>
      <c r="M2" s="25">
        <f t="shared" si="0"/>
        <v>0</v>
      </c>
      <c r="N2" s="25">
        <f t="shared" si="0"/>
        <v>42</v>
      </c>
      <c r="O2" s="25">
        <f t="shared" si="0"/>
        <v>0</v>
      </c>
      <c r="P2" s="25">
        <f t="shared" si="0"/>
        <v>0</v>
      </c>
      <c r="Q2" s="25">
        <f t="shared" si="0"/>
        <v>0</v>
      </c>
      <c r="R2" s="25">
        <f t="shared" si="0"/>
        <v>0</v>
      </c>
      <c r="S2" s="25">
        <f t="shared" si="0"/>
        <v>0</v>
      </c>
      <c r="T2" s="25">
        <f t="shared" si="0"/>
        <v>0</v>
      </c>
      <c r="U2" s="25">
        <f t="shared" si="0"/>
        <v>0</v>
      </c>
      <c r="V2" s="25">
        <f t="shared" si="0"/>
        <v>76</v>
      </c>
      <c r="W2" s="25">
        <f t="shared" si="0"/>
        <v>0</v>
      </c>
      <c r="X2" s="25">
        <f t="shared" si="0"/>
        <v>12</v>
      </c>
      <c r="Y2" s="25">
        <f t="shared" si="0"/>
        <v>11</v>
      </c>
      <c r="Z2" s="25">
        <f t="shared" si="0"/>
        <v>0</v>
      </c>
      <c r="AA2" s="25">
        <f t="shared" si="0"/>
        <v>0</v>
      </c>
      <c r="AB2" s="25">
        <f t="shared" si="0"/>
        <v>0</v>
      </c>
      <c r="AC2" s="25">
        <f t="shared" si="0"/>
        <v>0</v>
      </c>
      <c r="AD2" s="25">
        <f t="shared" si="0"/>
        <v>0</v>
      </c>
      <c r="AE2" s="25">
        <f t="shared" si="0"/>
        <v>0</v>
      </c>
      <c r="AF2" s="25">
        <f t="shared" si="0"/>
        <v>0</v>
      </c>
      <c r="AG2" s="25">
        <f t="shared" si="0"/>
        <v>0</v>
      </c>
      <c r="AH2" s="25">
        <f t="shared" si="0"/>
        <v>110</v>
      </c>
      <c r="AI2" s="25">
        <f t="shared" si="0"/>
        <v>62</v>
      </c>
      <c r="AJ2" s="25">
        <f t="shared" si="0"/>
        <v>0</v>
      </c>
      <c r="AK2" s="25">
        <f t="shared" si="0"/>
        <v>0</v>
      </c>
      <c r="AL2" s="25">
        <f t="shared" si="0"/>
        <v>0</v>
      </c>
      <c r="AM2" s="25">
        <f t="shared" si="0"/>
        <v>0</v>
      </c>
      <c r="AN2" s="25">
        <f t="shared" si="0"/>
        <v>0</v>
      </c>
      <c r="AO2" s="25">
        <f t="shared" si="0"/>
        <v>0</v>
      </c>
      <c r="AP2" s="25">
        <f t="shared" si="0"/>
        <v>5</v>
      </c>
      <c r="AQ2" s="25">
        <f t="shared" si="0"/>
        <v>36</v>
      </c>
      <c r="AR2" s="25">
        <f t="shared" si="0"/>
        <v>0</v>
      </c>
      <c r="AS2" s="25">
        <f t="shared" si="0"/>
        <v>0</v>
      </c>
      <c r="AT2" s="25">
        <f t="shared" si="0"/>
        <v>0</v>
      </c>
      <c r="AU2" s="25">
        <f t="shared" si="0"/>
        <v>0</v>
      </c>
      <c r="AV2" s="25">
        <f t="shared" si="0"/>
        <v>0</v>
      </c>
      <c r="AW2" s="25">
        <f t="shared" si="0"/>
        <v>0</v>
      </c>
      <c r="AX2" s="25">
        <f t="shared" si="0"/>
        <v>25</v>
      </c>
      <c r="AY2" s="25">
        <f t="shared" si="0"/>
        <v>0</v>
      </c>
    </row>
    <row r="3" spans="1:51" outlineLevel="1">
      <c r="A3" s="5" t="s">
        <v>124</v>
      </c>
      <c r="B3" s="15">
        <f>SUM(D3:AY3)</f>
        <v>1</v>
      </c>
      <c r="C3" s="16">
        <f>AVERAGE(D3:AY3)</f>
        <v>2.0833333333333332E-2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outlineLevel="1">
      <c r="A4" s="2" t="s">
        <v>58</v>
      </c>
      <c r="B4" s="15">
        <f t="shared" ref="B4:B12" si="1">SUM(D4:AY4)</f>
        <v>58</v>
      </c>
      <c r="C4" s="16">
        <f t="shared" ref="C4:C12" si="2">AVERAGE(D4:AY4)</f>
        <v>1.2083333333333333</v>
      </c>
      <c r="D4">
        <v>0</v>
      </c>
      <c r="E4">
        <v>0</v>
      </c>
      <c r="F4">
        <v>0</v>
      </c>
      <c r="G4">
        <v>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6</v>
      </c>
      <c r="Y4">
        <v>11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5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11</v>
      </c>
      <c r="AY4">
        <v>0</v>
      </c>
    </row>
    <row r="5" spans="1:51" outlineLevel="1">
      <c r="A5" s="5" t="s">
        <v>115</v>
      </c>
      <c r="B5" s="15">
        <f t="shared" si="1"/>
        <v>0</v>
      </c>
      <c r="C5" s="16">
        <f t="shared" si="2"/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outlineLevel="1">
      <c r="A6" s="2" t="s">
        <v>136</v>
      </c>
      <c r="B6" s="15">
        <f t="shared" si="1"/>
        <v>2</v>
      </c>
      <c r="C6" s="16">
        <f t="shared" si="2"/>
        <v>4.1666666666666664E-2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2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outlineLevel="1">
      <c r="A7" s="5" t="s">
        <v>117</v>
      </c>
      <c r="B7" s="15">
        <f t="shared" si="1"/>
        <v>0</v>
      </c>
      <c r="C7" s="16">
        <f t="shared" si="2"/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outlineLevel="1">
      <c r="A8" s="2" t="s">
        <v>59</v>
      </c>
      <c r="B8" s="15">
        <f t="shared" si="1"/>
        <v>1</v>
      </c>
      <c r="C8" s="16">
        <f t="shared" si="2"/>
        <v>2.0833333333333332E-2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outlineLevel="1">
      <c r="A9" s="2" t="s">
        <v>137</v>
      </c>
      <c r="B9" s="15">
        <f t="shared" si="1"/>
        <v>180</v>
      </c>
      <c r="C9" s="16">
        <f t="shared" si="2"/>
        <v>3.75</v>
      </c>
      <c r="D9">
        <v>0</v>
      </c>
      <c r="E9">
        <v>19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21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38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53</v>
      </c>
      <c r="AI9">
        <v>31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18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outlineLevel="1">
      <c r="A10" s="5" t="s">
        <v>116</v>
      </c>
      <c r="B10" s="15">
        <f t="shared" si="1"/>
        <v>0</v>
      </c>
      <c r="C10" s="16">
        <f t="shared" si="2"/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outlineLevel="1">
      <c r="A11" s="2" t="s">
        <v>138</v>
      </c>
      <c r="B11" s="15">
        <f t="shared" si="1"/>
        <v>45</v>
      </c>
      <c r="C11" s="16">
        <f t="shared" si="2"/>
        <v>0.9375</v>
      </c>
      <c r="D11">
        <v>0</v>
      </c>
      <c r="E11">
        <v>0</v>
      </c>
      <c r="F11">
        <v>0</v>
      </c>
      <c r="G11">
        <v>25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6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14</v>
      </c>
      <c r="AY11">
        <v>0</v>
      </c>
    </row>
    <row r="12" spans="1:51" outlineLevel="1">
      <c r="A12" s="2" t="s">
        <v>90</v>
      </c>
      <c r="B12" s="15">
        <f t="shared" si="1"/>
        <v>178</v>
      </c>
      <c r="C12" s="16">
        <f t="shared" si="2"/>
        <v>3.7083333333333335</v>
      </c>
      <c r="D12">
        <v>0</v>
      </c>
      <c r="E12">
        <v>17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38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53</v>
      </c>
      <c r="AI12">
        <v>31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18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s="25" customFormat="1" ht="19.5">
      <c r="A13" s="28" t="s">
        <v>119</v>
      </c>
      <c r="B13" s="26">
        <f>SUM(D13:AY13)</f>
        <v>343</v>
      </c>
      <c r="C13" s="27">
        <f>AVERAGE(D13:AY13)</f>
        <v>7.145833333333333</v>
      </c>
      <c r="D13" s="25">
        <f t="shared" ref="D13:AY13" si="3">SUM(D14:D18)</f>
        <v>14</v>
      </c>
      <c r="E13" s="25">
        <f t="shared" si="3"/>
        <v>15</v>
      </c>
      <c r="F13" s="25">
        <f t="shared" si="3"/>
        <v>0</v>
      </c>
      <c r="G13" s="25">
        <f t="shared" si="3"/>
        <v>10</v>
      </c>
      <c r="H13" s="25">
        <f t="shared" si="3"/>
        <v>4</v>
      </c>
      <c r="I13" s="25">
        <f t="shared" si="3"/>
        <v>13</v>
      </c>
      <c r="J13" s="25">
        <f t="shared" si="3"/>
        <v>9</v>
      </c>
      <c r="K13" s="25">
        <f t="shared" si="3"/>
        <v>0</v>
      </c>
      <c r="L13" s="25">
        <f t="shared" si="3"/>
        <v>0</v>
      </c>
      <c r="M13" s="25">
        <f t="shared" si="3"/>
        <v>0</v>
      </c>
      <c r="N13" s="25">
        <f t="shared" si="3"/>
        <v>12</v>
      </c>
      <c r="O13" s="25">
        <f t="shared" si="3"/>
        <v>0</v>
      </c>
      <c r="P13" s="25">
        <f t="shared" si="3"/>
        <v>0</v>
      </c>
      <c r="Q13" s="25">
        <f t="shared" si="3"/>
        <v>0</v>
      </c>
      <c r="R13" s="25">
        <f t="shared" si="3"/>
        <v>12</v>
      </c>
      <c r="S13" s="25">
        <f t="shared" si="3"/>
        <v>13</v>
      </c>
      <c r="T13" s="25">
        <f t="shared" si="3"/>
        <v>12</v>
      </c>
      <c r="U13" s="25">
        <f t="shared" si="3"/>
        <v>7</v>
      </c>
      <c r="V13" s="25">
        <f t="shared" si="3"/>
        <v>11</v>
      </c>
      <c r="W13" s="25">
        <f t="shared" si="3"/>
        <v>0</v>
      </c>
      <c r="X13" s="25">
        <f t="shared" si="3"/>
        <v>12</v>
      </c>
      <c r="Y13" s="25">
        <f t="shared" si="3"/>
        <v>0</v>
      </c>
      <c r="Z13" s="25">
        <f t="shared" si="3"/>
        <v>14</v>
      </c>
      <c r="AA13" s="25">
        <f t="shared" si="3"/>
        <v>0</v>
      </c>
      <c r="AB13" s="25">
        <f t="shared" si="3"/>
        <v>7</v>
      </c>
      <c r="AC13" s="25">
        <f t="shared" si="3"/>
        <v>0</v>
      </c>
      <c r="AD13" s="25">
        <f t="shared" si="3"/>
        <v>18</v>
      </c>
      <c r="AE13" s="25">
        <f t="shared" si="3"/>
        <v>0</v>
      </c>
      <c r="AF13" s="25">
        <f t="shared" si="3"/>
        <v>13</v>
      </c>
      <c r="AG13" s="25">
        <f t="shared" si="3"/>
        <v>0</v>
      </c>
      <c r="AH13" s="25">
        <f t="shared" si="3"/>
        <v>38</v>
      </c>
      <c r="AI13" s="25">
        <f t="shared" si="3"/>
        <v>14</v>
      </c>
      <c r="AJ13" s="25">
        <f t="shared" si="3"/>
        <v>0</v>
      </c>
      <c r="AK13" s="25">
        <f t="shared" si="3"/>
        <v>0</v>
      </c>
      <c r="AL13" s="25">
        <f t="shared" si="3"/>
        <v>0</v>
      </c>
      <c r="AM13" s="25">
        <f t="shared" si="3"/>
        <v>14</v>
      </c>
      <c r="AN13" s="25">
        <f t="shared" si="3"/>
        <v>0</v>
      </c>
      <c r="AO13" s="25">
        <f t="shared" si="3"/>
        <v>0</v>
      </c>
      <c r="AP13" s="25">
        <f t="shared" si="3"/>
        <v>0</v>
      </c>
      <c r="AQ13" s="25">
        <f t="shared" si="3"/>
        <v>14</v>
      </c>
      <c r="AR13" s="25">
        <f t="shared" si="3"/>
        <v>9</v>
      </c>
      <c r="AS13" s="25">
        <f t="shared" si="3"/>
        <v>0</v>
      </c>
      <c r="AT13" s="25">
        <f t="shared" si="3"/>
        <v>9</v>
      </c>
      <c r="AU13" s="25">
        <f t="shared" si="3"/>
        <v>2</v>
      </c>
      <c r="AV13" s="25">
        <f t="shared" si="3"/>
        <v>16</v>
      </c>
      <c r="AW13" s="25">
        <f t="shared" si="3"/>
        <v>12</v>
      </c>
      <c r="AX13" s="25">
        <f t="shared" si="3"/>
        <v>16</v>
      </c>
      <c r="AY13" s="25">
        <f t="shared" si="3"/>
        <v>3</v>
      </c>
    </row>
    <row r="14" spans="1:51" hidden="1" outlineLevel="1">
      <c r="A14" s="2" t="s">
        <v>84</v>
      </c>
      <c r="B14" s="15">
        <f>SUM(D14:AY14)</f>
        <v>2</v>
      </c>
      <c r="C14" s="16">
        <f>AVERAGE(D14:AY14)</f>
        <v>4.1666666666666664E-2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1</v>
      </c>
      <c r="AX14">
        <v>1</v>
      </c>
      <c r="AY14">
        <v>0</v>
      </c>
    </row>
    <row r="15" spans="1:51" hidden="1" outlineLevel="1">
      <c r="A15" s="5" t="s">
        <v>120</v>
      </c>
      <c r="B15" s="15">
        <f t="shared" ref="B15:B18" si="4">SUM(D15:AY15)</f>
        <v>0</v>
      </c>
      <c r="C15" s="16">
        <f t="shared" ref="C15:C18" si="5">AVERAGE(D15:AY15)</f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hidden="1" outlineLevel="1">
      <c r="A16" s="13" t="s">
        <v>121</v>
      </c>
      <c r="B16" s="15">
        <f t="shared" si="4"/>
        <v>0</v>
      </c>
      <c r="C16" s="16">
        <f t="shared" si="5"/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hidden="1" outlineLevel="1">
      <c r="A17" s="5" t="s">
        <v>122</v>
      </c>
      <c r="B17" s="15">
        <f t="shared" si="4"/>
        <v>0</v>
      </c>
      <c r="C17" s="16">
        <f t="shared" si="5"/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hidden="1" outlineLevel="1">
      <c r="A18" s="2" t="s">
        <v>139</v>
      </c>
      <c r="B18" s="15">
        <f t="shared" si="4"/>
        <v>341</v>
      </c>
      <c r="C18" s="16">
        <f t="shared" si="5"/>
        <v>7.104166666666667</v>
      </c>
      <c r="D18">
        <v>14</v>
      </c>
      <c r="E18">
        <v>15</v>
      </c>
      <c r="F18">
        <v>0</v>
      </c>
      <c r="G18">
        <v>10</v>
      </c>
      <c r="H18">
        <v>4</v>
      </c>
      <c r="I18">
        <v>13</v>
      </c>
      <c r="J18">
        <v>9</v>
      </c>
      <c r="K18">
        <v>0</v>
      </c>
      <c r="L18">
        <v>0</v>
      </c>
      <c r="M18">
        <v>0</v>
      </c>
      <c r="N18">
        <v>12</v>
      </c>
      <c r="O18">
        <v>0</v>
      </c>
      <c r="P18">
        <v>0</v>
      </c>
      <c r="Q18">
        <v>0</v>
      </c>
      <c r="R18">
        <v>12</v>
      </c>
      <c r="S18">
        <v>13</v>
      </c>
      <c r="T18">
        <v>12</v>
      </c>
      <c r="U18">
        <v>7</v>
      </c>
      <c r="V18">
        <v>11</v>
      </c>
      <c r="W18">
        <v>0</v>
      </c>
      <c r="X18">
        <v>12</v>
      </c>
      <c r="Y18">
        <v>0</v>
      </c>
      <c r="Z18">
        <v>14</v>
      </c>
      <c r="AA18">
        <v>0</v>
      </c>
      <c r="AB18">
        <v>7</v>
      </c>
      <c r="AC18">
        <v>0</v>
      </c>
      <c r="AD18">
        <v>18</v>
      </c>
      <c r="AE18">
        <v>0</v>
      </c>
      <c r="AF18">
        <v>13</v>
      </c>
      <c r="AG18">
        <v>0</v>
      </c>
      <c r="AH18">
        <v>38</v>
      </c>
      <c r="AI18">
        <v>14</v>
      </c>
      <c r="AJ18">
        <v>0</v>
      </c>
      <c r="AK18">
        <v>0</v>
      </c>
      <c r="AL18">
        <v>0</v>
      </c>
      <c r="AM18">
        <v>14</v>
      </c>
      <c r="AN18">
        <v>0</v>
      </c>
      <c r="AO18">
        <v>0</v>
      </c>
      <c r="AP18">
        <v>0</v>
      </c>
      <c r="AQ18">
        <v>14</v>
      </c>
      <c r="AR18">
        <v>9</v>
      </c>
      <c r="AS18">
        <v>0</v>
      </c>
      <c r="AT18">
        <v>9</v>
      </c>
      <c r="AU18">
        <v>2</v>
      </c>
      <c r="AV18">
        <v>16</v>
      </c>
      <c r="AW18">
        <v>11</v>
      </c>
      <c r="AX18">
        <v>15</v>
      </c>
      <c r="AY18">
        <v>3</v>
      </c>
    </row>
    <row r="19" spans="1:51" s="25" customFormat="1" ht="20.25" customHeight="1" collapsed="1">
      <c r="A19" s="28" t="s">
        <v>123</v>
      </c>
      <c r="B19" s="26">
        <f>SUM(D19:AY19)</f>
        <v>108</v>
      </c>
      <c r="C19" s="27">
        <f>AVERAGE(D19:AY19)</f>
        <v>2.25</v>
      </c>
      <c r="D19" s="25">
        <f t="shared" ref="D19:AY19" si="6">SUM(D20:D30)</f>
        <v>1</v>
      </c>
      <c r="E19" s="25">
        <f t="shared" si="6"/>
        <v>3</v>
      </c>
      <c r="F19" s="25">
        <f t="shared" si="6"/>
        <v>0</v>
      </c>
      <c r="G19" s="25">
        <f t="shared" si="6"/>
        <v>3</v>
      </c>
      <c r="H19" s="25">
        <f t="shared" si="6"/>
        <v>6</v>
      </c>
      <c r="I19" s="25">
        <f t="shared" si="6"/>
        <v>1</v>
      </c>
      <c r="J19" s="25">
        <f t="shared" si="6"/>
        <v>5</v>
      </c>
      <c r="K19" s="25">
        <f t="shared" si="6"/>
        <v>0</v>
      </c>
      <c r="L19" s="25">
        <f t="shared" si="6"/>
        <v>0</v>
      </c>
      <c r="M19" s="25">
        <f t="shared" si="6"/>
        <v>0</v>
      </c>
      <c r="N19" s="25">
        <f t="shared" si="6"/>
        <v>3</v>
      </c>
      <c r="O19" s="25">
        <f t="shared" si="6"/>
        <v>0</v>
      </c>
      <c r="P19" s="25">
        <f t="shared" si="6"/>
        <v>0</v>
      </c>
      <c r="Q19" s="25">
        <f t="shared" si="6"/>
        <v>0</v>
      </c>
      <c r="R19" s="25">
        <f t="shared" si="6"/>
        <v>3</v>
      </c>
      <c r="S19" s="25">
        <f t="shared" si="6"/>
        <v>4</v>
      </c>
      <c r="T19" s="25">
        <f t="shared" si="6"/>
        <v>2</v>
      </c>
      <c r="U19" s="25">
        <f t="shared" si="6"/>
        <v>2</v>
      </c>
      <c r="V19" s="25">
        <f t="shared" si="6"/>
        <v>3</v>
      </c>
      <c r="W19" s="25">
        <f t="shared" si="6"/>
        <v>0</v>
      </c>
      <c r="X19" s="25">
        <f t="shared" si="6"/>
        <v>2</v>
      </c>
      <c r="Y19" s="25">
        <f t="shared" si="6"/>
        <v>1</v>
      </c>
      <c r="Z19" s="25">
        <f t="shared" si="6"/>
        <v>7</v>
      </c>
      <c r="AA19" s="25">
        <f t="shared" si="6"/>
        <v>0</v>
      </c>
      <c r="AB19" s="25">
        <f t="shared" si="6"/>
        <v>1</v>
      </c>
      <c r="AC19" s="25">
        <f t="shared" si="6"/>
        <v>0</v>
      </c>
      <c r="AD19" s="25">
        <f t="shared" si="6"/>
        <v>23</v>
      </c>
      <c r="AE19" s="25">
        <f t="shared" si="6"/>
        <v>0</v>
      </c>
      <c r="AF19" s="25">
        <f t="shared" si="6"/>
        <v>3</v>
      </c>
      <c r="AG19" s="25">
        <f t="shared" si="6"/>
        <v>0</v>
      </c>
      <c r="AH19" s="25">
        <f t="shared" si="6"/>
        <v>8</v>
      </c>
      <c r="AI19" s="25">
        <f t="shared" si="6"/>
        <v>5</v>
      </c>
      <c r="AJ19" s="25">
        <f t="shared" si="6"/>
        <v>0</v>
      </c>
      <c r="AK19" s="25">
        <f t="shared" si="6"/>
        <v>0</v>
      </c>
      <c r="AL19" s="25">
        <f t="shared" si="6"/>
        <v>1</v>
      </c>
      <c r="AM19" s="25">
        <f t="shared" si="6"/>
        <v>3</v>
      </c>
      <c r="AN19" s="25">
        <f t="shared" si="6"/>
        <v>0</v>
      </c>
      <c r="AO19" s="25">
        <f t="shared" si="6"/>
        <v>0</v>
      </c>
      <c r="AP19" s="25">
        <f t="shared" si="6"/>
        <v>0</v>
      </c>
      <c r="AQ19" s="25">
        <f t="shared" si="6"/>
        <v>1</v>
      </c>
      <c r="AR19" s="25">
        <f t="shared" si="6"/>
        <v>3</v>
      </c>
      <c r="AS19" s="25">
        <f t="shared" si="6"/>
        <v>0</v>
      </c>
      <c r="AT19" s="25">
        <f t="shared" si="6"/>
        <v>3</v>
      </c>
      <c r="AU19" s="25">
        <f t="shared" si="6"/>
        <v>1</v>
      </c>
      <c r="AV19" s="25">
        <f t="shared" si="6"/>
        <v>2</v>
      </c>
      <c r="AW19" s="25">
        <f t="shared" si="6"/>
        <v>3</v>
      </c>
      <c r="AX19" s="25">
        <f t="shared" si="6"/>
        <v>2</v>
      </c>
      <c r="AY19" s="25">
        <f t="shared" si="6"/>
        <v>3</v>
      </c>
    </row>
    <row r="20" spans="1:51" hidden="1" outlineLevel="1">
      <c r="A20" s="5" t="s">
        <v>131</v>
      </c>
      <c r="B20" s="15">
        <f>SUM(D20:AY20)</f>
        <v>0</v>
      </c>
      <c r="C20" s="16">
        <f>AVERAGE(D20:AY20)</f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hidden="1" outlineLevel="1">
      <c r="A21" s="5" t="s">
        <v>125</v>
      </c>
      <c r="B21" s="15">
        <f t="shared" ref="B21:B30" si="7">SUM(D21:AY21)</f>
        <v>0</v>
      </c>
      <c r="C21" s="16">
        <f t="shared" ref="C21:C30" si="8">AVERAGE(D21:AY21)</f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hidden="1" outlineLevel="1">
      <c r="A22" s="5" t="s">
        <v>126</v>
      </c>
      <c r="B22" s="15">
        <f t="shared" si="7"/>
        <v>0</v>
      </c>
      <c r="C22" s="16">
        <f t="shared" si="8"/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hidden="1" outlineLevel="1">
      <c r="A23" s="5" t="s">
        <v>127</v>
      </c>
      <c r="B23" s="15">
        <f t="shared" si="7"/>
        <v>2</v>
      </c>
      <c r="C23" s="16">
        <f t="shared" si="8"/>
        <v>4.1666666666666664E-2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2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hidden="1" outlineLevel="1">
      <c r="A24" s="5" t="s">
        <v>128</v>
      </c>
      <c r="B24" s="15">
        <f t="shared" si="7"/>
        <v>2</v>
      </c>
      <c r="C24" s="16">
        <f t="shared" si="8"/>
        <v>4.1666666666666664E-2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2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hidden="1" outlineLevel="1">
      <c r="A25" s="5" t="s">
        <v>129</v>
      </c>
      <c r="B25" s="15">
        <f t="shared" si="7"/>
        <v>26</v>
      </c>
      <c r="C25" s="16">
        <f t="shared" si="8"/>
        <v>0.54166666666666663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  <c r="Z25">
        <v>0</v>
      </c>
      <c r="AA25">
        <v>0</v>
      </c>
      <c r="AB25">
        <v>0</v>
      </c>
      <c r="AC25">
        <v>0</v>
      </c>
      <c r="AD25">
        <v>21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1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hidden="1" outlineLevel="1">
      <c r="A26" s="13" t="s">
        <v>130</v>
      </c>
      <c r="B26" s="15">
        <f t="shared" si="7"/>
        <v>1</v>
      </c>
      <c r="C26" s="16">
        <f t="shared" si="8"/>
        <v>2.0833333333333332E-2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hidden="1" outlineLevel="1">
      <c r="A27" s="5" t="s">
        <v>132</v>
      </c>
      <c r="B27" s="15">
        <f t="shared" si="7"/>
        <v>77</v>
      </c>
      <c r="C27" s="16">
        <f t="shared" si="8"/>
        <v>1.6041666666666667</v>
      </c>
      <c r="D27">
        <v>1</v>
      </c>
      <c r="E27">
        <v>3</v>
      </c>
      <c r="F27">
        <v>0</v>
      </c>
      <c r="G27">
        <v>3</v>
      </c>
      <c r="H27">
        <v>6</v>
      </c>
      <c r="I27">
        <v>1</v>
      </c>
      <c r="J27">
        <v>3</v>
      </c>
      <c r="K27">
        <v>0</v>
      </c>
      <c r="L27">
        <v>0</v>
      </c>
      <c r="M27">
        <v>0</v>
      </c>
      <c r="N27">
        <v>3</v>
      </c>
      <c r="O27">
        <v>0</v>
      </c>
      <c r="P27">
        <v>0</v>
      </c>
      <c r="Q27">
        <v>0</v>
      </c>
      <c r="R27">
        <v>3</v>
      </c>
      <c r="S27">
        <v>3</v>
      </c>
      <c r="T27">
        <v>2</v>
      </c>
      <c r="U27">
        <v>2</v>
      </c>
      <c r="V27">
        <v>3</v>
      </c>
      <c r="W27">
        <v>0</v>
      </c>
      <c r="X27">
        <v>2</v>
      </c>
      <c r="Y27">
        <v>0</v>
      </c>
      <c r="Z27">
        <v>3</v>
      </c>
      <c r="AA27">
        <v>0</v>
      </c>
      <c r="AB27">
        <v>1</v>
      </c>
      <c r="AC27">
        <v>0</v>
      </c>
      <c r="AD27">
        <v>1</v>
      </c>
      <c r="AE27">
        <v>0</v>
      </c>
      <c r="AF27">
        <v>3</v>
      </c>
      <c r="AG27">
        <v>0</v>
      </c>
      <c r="AH27">
        <v>8</v>
      </c>
      <c r="AI27">
        <v>5</v>
      </c>
      <c r="AJ27">
        <v>0</v>
      </c>
      <c r="AK27">
        <v>0</v>
      </c>
      <c r="AL27">
        <v>0</v>
      </c>
      <c r="AM27">
        <v>3</v>
      </c>
      <c r="AN27">
        <v>0</v>
      </c>
      <c r="AO27">
        <v>0</v>
      </c>
      <c r="AP27">
        <v>0</v>
      </c>
      <c r="AQ27">
        <v>1</v>
      </c>
      <c r="AR27">
        <v>3</v>
      </c>
      <c r="AS27">
        <v>0</v>
      </c>
      <c r="AT27">
        <v>3</v>
      </c>
      <c r="AU27">
        <v>1</v>
      </c>
      <c r="AV27">
        <v>2</v>
      </c>
      <c r="AW27">
        <v>3</v>
      </c>
      <c r="AX27">
        <v>2</v>
      </c>
      <c r="AY27">
        <v>3</v>
      </c>
    </row>
    <row r="28" spans="1:51" hidden="1" outlineLevel="1">
      <c r="A28" s="5" t="s">
        <v>133</v>
      </c>
      <c r="B28" s="15">
        <f t="shared" si="7"/>
        <v>0</v>
      </c>
      <c r="C28" s="16">
        <f t="shared" si="8"/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hidden="1" outlineLevel="1">
      <c r="A29" s="5" t="s">
        <v>134</v>
      </c>
      <c r="B29" s="15">
        <f t="shared" si="7"/>
        <v>0</v>
      </c>
      <c r="C29" s="16">
        <f t="shared" si="8"/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hidden="1" outlineLevel="1">
      <c r="A30" s="5" t="s">
        <v>135</v>
      </c>
      <c r="B30" s="15">
        <f t="shared" si="7"/>
        <v>0</v>
      </c>
      <c r="C30" s="16">
        <f t="shared" si="8"/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s="25" customFormat="1" ht="19.5" collapsed="1">
      <c r="A31" s="28" t="s">
        <v>140</v>
      </c>
      <c r="B31" s="26">
        <f>SUM(D31:AY31)</f>
        <v>1072</v>
      </c>
      <c r="C31" s="27">
        <f>AVERAGE(D31:AY31)</f>
        <v>22.333333333333332</v>
      </c>
      <c r="D31" s="25">
        <f>SUM(D32:D68)</f>
        <v>34</v>
      </c>
      <c r="E31" s="25">
        <f t="shared" ref="E31:AY31" si="9">SUM(E32:E68)</f>
        <v>9</v>
      </c>
      <c r="F31" s="25">
        <f t="shared" si="9"/>
        <v>54</v>
      </c>
      <c r="G31" s="25">
        <f t="shared" si="9"/>
        <v>56</v>
      </c>
      <c r="H31" s="25">
        <f t="shared" si="9"/>
        <v>0</v>
      </c>
      <c r="I31" s="25">
        <f t="shared" si="9"/>
        <v>8</v>
      </c>
      <c r="J31" s="25">
        <f t="shared" si="9"/>
        <v>10</v>
      </c>
      <c r="K31" s="25">
        <f t="shared" si="9"/>
        <v>6</v>
      </c>
      <c r="L31" s="25">
        <f t="shared" si="9"/>
        <v>31</v>
      </c>
      <c r="M31" s="25">
        <f t="shared" si="9"/>
        <v>29</v>
      </c>
      <c r="N31" s="25">
        <f t="shared" si="9"/>
        <v>37</v>
      </c>
      <c r="O31" s="25">
        <f t="shared" si="9"/>
        <v>6</v>
      </c>
      <c r="P31" s="25">
        <f t="shared" si="9"/>
        <v>8</v>
      </c>
      <c r="Q31" s="25">
        <f t="shared" si="9"/>
        <v>7</v>
      </c>
      <c r="R31" s="25">
        <f t="shared" si="9"/>
        <v>70</v>
      </c>
      <c r="S31" s="25">
        <f t="shared" si="9"/>
        <v>35</v>
      </c>
      <c r="T31" s="25">
        <f t="shared" si="9"/>
        <v>3</v>
      </c>
      <c r="U31" s="25">
        <f t="shared" si="9"/>
        <v>2</v>
      </c>
      <c r="V31" s="25">
        <f t="shared" si="9"/>
        <v>29</v>
      </c>
      <c r="W31" s="25">
        <f t="shared" si="9"/>
        <v>8</v>
      </c>
      <c r="X31" s="25">
        <f t="shared" si="9"/>
        <v>48</v>
      </c>
      <c r="Y31" s="25">
        <f t="shared" si="9"/>
        <v>17</v>
      </c>
      <c r="Z31" s="25">
        <f t="shared" si="9"/>
        <v>62</v>
      </c>
      <c r="AA31" s="25">
        <f t="shared" si="9"/>
        <v>0</v>
      </c>
      <c r="AB31" s="25">
        <f t="shared" si="9"/>
        <v>0</v>
      </c>
      <c r="AC31" s="25">
        <f t="shared" si="9"/>
        <v>1</v>
      </c>
      <c r="AD31" s="25">
        <f t="shared" si="9"/>
        <v>66</v>
      </c>
      <c r="AE31" s="25">
        <f t="shared" si="9"/>
        <v>31</v>
      </c>
      <c r="AF31" s="25">
        <f t="shared" si="9"/>
        <v>45</v>
      </c>
      <c r="AG31" s="25">
        <f t="shared" si="9"/>
        <v>9</v>
      </c>
      <c r="AH31" s="25">
        <f t="shared" si="9"/>
        <v>27</v>
      </c>
      <c r="AI31" s="25">
        <f t="shared" si="9"/>
        <v>6</v>
      </c>
      <c r="AJ31" s="25">
        <f t="shared" si="9"/>
        <v>10</v>
      </c>
      <c r="AK31" s="25">
        <f t="shared" si="9"/>
        <v>10</v>
      </c>
      <c r="AL31" s="25">
        <f t="shared" si="9"/>
        <v>8</v>
      </c>
      <c r="AM31" s="25">
        <f t="shared" si="9"/>
        <v>7</v>
      </c>
      <c r="AN31" s="25">
        <f t="shared" si="9"/>
        <v>19</v>
      </c>
      <c r="AO31" s="25">
        <f t="shared" si="9"/>
        <v>4</v>
      </c>
      <c r="AP31" s="25">
        <f t="shared" si="9"/>
        <v>25</v>
      </c>
      <c r="AQ31" s="25">
        <f t="shared" si="9"/>
        <v>48</v>
      </c>
      <c r="AR31" s="25">
        <f t="shared" si="9"/>
        <v>20</v>
      </c>
      <c r="AS31" s="25">
        <f t="shared" si="9"/>
        <v>1</v>
      </c>
      <c r="AT31" s="25">
        <f t="shared" si="9"/>
        <v>33</v>
      </c>
      <c r="AU31" s="25">
        <f t="shared" si="9"/>
        <v>32</v>
      </c>
      <c r="AV31" s="25">
        <f t="shared" si="9"/>
        <v>9</v>
      </c>
      <c r="AW31" s="25">
        <f t="shared" si="9"/>
        <v>31</v>
      </c>
      <c r="AX31" s="25">
        <f t="shared" si="9"/>
        <v>48</v>
      </c>
      <c r="AY31" s="25">
        <f t="shared" si="9"/>
        <v>13</v>
      </c>
    </row>
    <row r="32" spans="1:51" hidden="1" outlineLevel="1">
      <c r="A32" s="5" t="s">
        <v>141</v>
      </c>
      <c r="B32" s="15">
        <f>SUM(D32:AY32)</f>
        <v>33</v>
      </c>
      <c r="C32" s="16">
        <f>AVERAGE(D32:AY32)</f>
        <v>0.6875</v>
      </c>
      <c r="D32">
        <v>9</v>
      </c>
      <c r="E32">
        <v>0</v>
      </c>
      <c r="F32">
        <v>19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4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hidden="1" outlineLevel="1">
      <c r="A33" s="5" t="s">
        <v>142</v>
      </c>
      <c r="B33" s="15">
        <f t="shared" ref="B33:B68" si="10">SUM(D33:AY33)</f>
        <v>29</v>
      </c>
      <c r="C33" s="16">
        <f t="shared" ref="C33:C68" si="11">AVERAGE(D33:AY33)</f>
        <v>0.60416666666666663</v>
      </c>
      <c r="D33">
        <v>8</v>
      </c>
      <c r="E33">
        <v>0</v>
      </c>
      <c r="F33">
        <v>19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hidden="1" outlineLevel="1">
      <c r="A34" s="5" t="s">
        <v>143</v>
      </c>
      <c r="B34" s="15">
        <f t="shared" si="10"/>
        <v>29</v>
      </c>
      <c r="C34" s="16">
        <f t="shared" si="11"/>
        <v>0.60416666666666663</v>
      </c>
      <c r="D34">
        <v>0</v>
      </c>
      <c r="E34">
        <v>0</v>
      </c>
      <c r="F34">
        <v>9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12</v>
      </c>
      <c r="W34">
        <v>0</v>
      </c>
      <c r="X34">
        <v>0</v>
      </c>
      <c r="Y34">
        <v>1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2</v>
      </c>
      <c r="AH34">
        <v>0</v>
      </c>
      <c r="AI34">
        <v>0</v>
      </c>
      <c r="AJ34">
        <v>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hidden="1" outlineLevel="1">
      <c r="A35" s="5" t="s">
        <v>144</v>
      </c>
      <c r="B35" s="15">
        <f t="shared" si="10"/>
        <v>0</v>
      </c>
      <c r="C35" s="16">
        <f t="shared" si="11"/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hidden="1" outlineLevel="1">
      <c r="A36" s="5" t="s">
        <v>145</v>
      </c>
      <c r="B36" s="15">
        <f t="shared" si="10"/>
        <v>1</v>
      </c>
      <c r="C36" s="16">
        <f t="shared" si="11"/>
        <v>2.0833333333333332E-2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hidden="1" outlineLevel="1">
      <c r="A37" s="5" t="s">
        <v>146</v>
      </c>
      <c r="B37" s="15">
        <f t="shared" si="10"/>
        <v>1</v>
      </c>
      <c r="C37" s="16">
        <f t="shared" si="11"/>
        <v>2.0833333333333332E-2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1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hidden="1" outlineLevel="1">
      <c r="A38" s="5" t="s">
        <v>147</v>
      </c>
      <c r="B38" s="15">
        <f t="shared" si="10"/>
        <v>0</v>
      </c>
      <c r="C38" s="16">
        <f t="shared" si="11"/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hidden="1" outlineLevel="1">
      <c r="A39" s="5" t="s">
        <v>148</v>
      </c>
      <c r="B39" s="15">
        <f t="shared" si="10"/>
        <v>0</v>
      </c>
      <c r="C39" s="16">
        <f t="shared" si="11"/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hidden="1" outlineLevel="1">
      <c r="A40" s="5" t="s">
        <v>149</v>
      </c>
      <c r="B40" s="15">
        <f t="shared" si="10"/>
        <v>214</v>
      </c>
      <c r="C40" s="16">
        <f t="shared" si="11"/>
        <v>4.458333333333333</v>
      </c>
      <c r="D40">
        <v>0</v>
      </c>
      <c r="E40">
        <v>0</v>
      </c>
      <c r="F40">
        <v>0</v>
      </c>
      <c r="G40">
        <v>9</v>
      </c>
      <c r="H40">
        <v>0</v>
      </c>
      <c r="I40">
        <v>1</v>
      </c>
      <c r="J40">
        <v>0</v>
      </c>
      <c r="K40">
        <v>2</v>
      </c>
      <c r="L40">
        <v>8</v>
      </c>
      <c r="M40">
        <v>13</v>
      </c>
      <c r="N40">
        <v>0</v>
      </c>
      <c r="O40">
        <v>0</v>
      </c>
      <c r="P40">
        <v>0</v>
      </c>
      <c r="Q40">
        <v>0</v>
      </c>
      <c r="R40">
        <v>20</v>
      </c>
      <c r="S40">
        <v>6</v>
      </c>
      <c r="T40">
        <v>0</v>
      </c>
      <c r="U40">
        <v>0</v>
      </c>
      <c r="V40">
        <v>0</v>
      </c>
      <c r="W40">
        <v>0</v>
      </c>
      <c r="X40">
        <v>9</v>
      </c>
      <c r="Y40">
        <v>0</v>
      </c>
      <c r="Z40">
        <v>21</v>
      </c>
      <c r="AA40">
        <v>0</v>
      </c>
      <c r="AB40">
        <v>0</v>
      </c>
      <c r="AC40">
        <v>0</v>
      </c>
      <c r="AD40">
        <v>32</v>
      </c>
      <c r="AE40">
        <v>12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3</v>
      </c>
      <c r="AL40">
        <v>0</v>
      </c>
      <c r="AM40">
        <v>0</v>
      </c>
      <c r="AN40">
        <v>16</v>
      </c>
      <c r="AO40">
        <v>0</v>
      </c>
      <c r="AP40">
        <v>6</v>
      </c>
      <c r="AQ40">
        <v>15</v>
      </c>
      <c r="AR40">
        <v>0</v>
      </c>
      <c r="AS40">
        <v>0</v>
      </c>
      <c r="AT40">
        <v>9</v>
      </c>
      <c r="AU40">
        <v>10</v>
      </c>
      <c r="AV40">
        <v>3</v>
      </c>
      <c r="AW40">
        <v>7</v>
      </c>
      <c r="AX40">
        <v>12</v>
      </c>
      <c r="AY40">
        <v>0</v>
      </c>
    </row>
    <row r="41" spans="1:51" hidden="1" outlineLevel="1">
      <c r="A41" s="5" t="s">
        <v>169</v>
      </c>
      <c r="B41" s="15">
        <f t="shared" si="10"/>
        <v>0</v>
      </c>
      <c r="C41" s="16">
        <f t="shared" si="11"/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hidden="1" outlineLevel="1">
      <c r="A42" s="5" t="s">
        <v>150</v>
      </c>
      <c r="B42" s="15">
        <f t="shared" si="10"/>
        <v>0</v>
      </c>
      <c r="C42" s="16">
        <f t="shared" si="11"/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hidden="1" outlineLevel="1">
      <c r="A43" s="5" t="s">
        <v>151</v>
      </c>
      <c r="B43" s="15">
        <f t="shared" si="10"/>
        <v>4</v>
      </c>
      <c r="C43" s="16">
        <f t="shared" si="11"/>
        <v>8.3333333333333329E-2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4</v>
      </c>
      <c r="AV43">
        <v>0</v>
      </c>
      <c r="AW43">
        <v>0</v>
      </c>
      <c r="AX43">
        <v>0</v>
      </c>
      <c r="AY43">
        <v>0</v>
      </c>
    </row>
    <row r="44" spans="1:51" hidden="1" outlineLevel="1">
      <c r="A44" s="5" t="s">
        <v>152</v>
      </c>
      <c r="B44" s="15">
        <f t="shared" si="10"/>
        <v>190</v>
      </c>
      <c r="C44" s="16">
        <f t="shared" si="11"/>
        <v>3.9583333333333335</v>
      </c>
      <c r="D44">
        <v>0</v>
      </c>
      <c r="E44">
        <v>0</v>
      </c>
      <c r="F44">
        <v>0</v>
      </c>
      <c r="G44">
        <v>17</v>
      </c>
      <c r="H44">
        <v>0</v>
      </c>
      <c r="I44">
        <v>3</v>
      </c>
      <c r="J44">
        <v>3</v>
      </c>
      <c r="K44">
        <v>0</v>
      </c>
      <c r="L44">
        <v>20</v>
      </c>
      <c r="M44">
        <v>9</v>
      </c>
      <c r="N44">
        <v>15</v>
      </c>
      <c r="O44">
        <v>0</v>
      </c>
      <c r="P44">
        <v>0</v>
      </c>
      <c r="Q44">
        <v>0</v>
      </c>
      <c r="R44">
        <v>6</v>
      </c>
      <c r="S44">
        <v>1</v>
      </c>
      <c r="T44">
        <v>0</v>
      </c>
      <c r="U44">
        <v>0</v>
      </c>
      <c r="V44">
        <v>0</v>
      </c>
      <c r="W44">
        <v>7</v>
      </c>
      <c r="X44">
        <v>17</v>
      </c>
      <c r="Y44">
        <v>2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15</v>
      </c>
      <c r="AF44">
        <v>11</v>
      </c>
      <c r="AG44">
        <v>0</v>
      </c>
      <c r="AH44">
        <v>8</v>
      </c>
      <c r="AI44">
        <v>0</v>
      </c>
      <c r="AJ44">
        <v>0</v>
      </c>
      <c r="AK44">
        <v>4</v>
      </c>
      <c r="AL44">
        <v>0</v>
      </c>
      <c r="AM44">
        <v>0</v>
      </c>
      <c r="AN44">
        <v>0</v>
      </c>
      <c r="AO44">
        <v>0</v>
      </c>
      <c r="AP44">
        <v>18</v>
      </c>
      <c r="AQ44">
        <v>8</v>
      </c>
      <c r="AR44">
        <v>1</v>
      </c>
      <c r="AS44">
        <v>0</v>
      </c>
      <c r="AT44">
        <v>6</v>
      </c>
      <c r="AU44">
        <v>3</v>
      </c>
      <c r="AV44">
        <v>0</v>
      </c>
      <c r="AW44">
        <v>6</v>
      </c>
      <c r="AX44">
        <v>10</v>
      </c>
      <c r="AY44">
        <v>0</v>
      </c>
    </row>
    <row r="45" spans="1:51" hidden="1" outlineLevel="1">
      <c r="A45" s="5" t="s">
        <v>170</v>
      </c>
      <c r="B45" s="15">
        <f t="shared" si="10"/>
        <v>0</v>
      </c>
      <c r="C45" s="16">
        <f t="shared" si="11"/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hidden="1" outlineLevel="1">
      <c r="A46" s="5" t="s">
        <v>171</v>
      </c>
      <c r="B46" s="15">
        <f t="shared" si="10"/>
        <v>0</v>
      </c>
      <c r="C46" s="16">
        <f t="shared" si="11"/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hidden="1" outlineLevel="1">
      <c r="A47" s="5" t="s">
        <v>153</v>
      </c>
      <c r="B47" s="15">
        <f t="shared" si="10"/>
        <v>13</v>
      </c>
      <c r="C47" s="16">
        <f t="shared" si="11"/>
        <v>0.27083333333333331</v>
      </c>
      <c r="D47">
        <v>0</v>
      </c>
      <c r="E47">
        <v>0</v>
      </c>
      <c r="F47">
        <v>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4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3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hidden="1" outlineLevel="1">
      <c r="A48" s="5" t="s">
        <v>154</v>
      </c>
      <c r="B48" s="15">
        <f t="shared" si="10"/>
        <v>0</v>
      </c>
      <c r="C48" s="16">
        <f t="shared" si="11"/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hidden="1" outlineLevel="1">
      <c r="A49" s="5" t="s">
        <v>155</v>
      </c>
      <c r="B49" s="15">
        <f t="shared" si="10"/>
        <v>0</v>
      </c>
      <c r="C49" s="16">
        <f t="shared" si="11"/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hidden="1" outlineLevel="1">
      <c r="A50" s="5" t="s">
        <v>156</v>
      </c>
      <c r="B50" s="15">
        <f t="shared" si="10"/>
        <v>0</v>
      </c>
      <c r="C50" s="16">
        <f t="shared" si="11"/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hidden="1" outlineLevel="1">
      <c r="A51" s="5" t="s">
        <v>157</v>
      </c>
      <c r="B51" s="15">
        <f t="shared" si="10"/>
        <v>0</v>
      </c>
      <c r="C51" s="16">
        <f t="shared" si="11"/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hidden="1" outlineLevel="1">
      <c r="A52" s="5" t="s">
        <v>158</v>
      </c>
      <c r="B52" s="15">
        <f t="shared" si="10"/>
        <v>0</v>
      </c>
      <c r="C52" s="16">
        <f t="shared" si="11"/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hidden="1" outlineLevel="1">
      <c r="A53" s="5" t="s">
        <v>159</v>
      </c>
      <c r="B53" s="15">
        <f t="shared" si="10"/>
        <v>3</v>
      </c>
      <c r="C53" s="16">
        <f t="shared" si="11"/>
        <v>6.25E-2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3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  <row r="54" spans="1:51" hidden="1" outlineLevel="1">
      <c r="A54" s="5" t="s">
        <v>160</v>
      </c>
      <c r="B54" s="15">
        <f t="shared" si="10"/>
        <v>58</v>
      </c>
      <c r="C54" s="16">
        <f t="shared" si="11"/>
        <v>1.2083333333333333</v>
      </c>
      <c r="D54">
        <v>0</v>
      </c>
      <c r="E54">
        <v>2</v>
      </c>
      <c r="F54">
        <v>0</v>
      </c>
      <c r="G54">
        <v>1</v>
      </c>
      <c r="H54">
        <v>0</v>
      </c>
      <c r="I54">
        <v>0</v>
      </c>
      <c r="J54">
        <v>2</v>
      </c>
      <c r="K54">
        <v>2</v>
      </c>
      <c r="L54">
        <v>1</v>
      </c>
      <c r="M54">
        <v>2</v>
      </c>
      <c r="N54">
        <v>2</v>
      </c>
      <c r="O54">
        <v>2</v>
      </c>
      <c r="P54">
        <v>2</v>
      </c>
      <c r="Q54">
        <v>1</v>
      </c>
      <c r="R54">
        <v>1</v>
      </c>
      <c r="S54">
        <v>2</v>
      </c>
      <c r="T54">
        <v>0</v>
      </c>
      <c r="U54">
        <v>1</v>
      </c>
      <c r="V54">
        <v>2</v>
      </c>
      <c r="W54">
        <v>0</v>
      </c>
      <c r="X54">
        <v>1</v>
      </c>
      <c r="Y54">
        <v>3</v>
      </c>
      <c r="Z54">
        <v>2</v>
      </c>
      <c r="AA54">
        <v>0</v>
      </c>
      <c r="AB54">
        <v>0</v>
      </c>
      <c r="AC54">
        <v>0</v>
      </c>
      <c r="AD54">
        <v>0</v>
      </c>
      <c r="AE54">
        <v>2</v>
      </c>
      <c r="AF54">
        <v>2</v>
      </c>
      <c r="AG54">
        <v>1</v>
      </c>
      <c r="AH54">
        <v>4</v>
      </c>
      <c r="AI54">
        <v>3</v>
      </c>
      <c r="AJ54">
        <v>1</v>
      </c>
      <c r="AK54">
        <v>2</v>
      </c>
      <c r="AL54">
        <v>2</v>
      </c>
      <c r="AM54">
        <v>1</v>
      </c>
      <c r="AN54">
        <v>1</v>
      </c>
      <c r="AO54">
        <v>2</v>
      </c>
      <c r="AP54">
        <v>0</v>
      </c>
      <c r="AQ54">
        <v>0</v>
      </c>
      <c r="AR54">
        <v>2</v>
      </c>
      <c r="AS54">
        <v>0</v>
      </c>
      <c r="AT54">
        <v>1</v>
      </c>
      <c r="AU54">
        <v>0</v>
      </c>
      <c r="AV54">
        <v>0</v>
      </c>
      <c r="AW54">
        <v>2</v>
      </c>
      <c r="AX54">
        <v>1</v>
      </c>
      <c r="AY54">
        <v>2</v>
      </c>
    </row>
    <row r="55" spans="1:51" hidden="1" outlineLevel="1">
      <c r="A55" s="5" t="s">
        <v>161</v>
      </c>
      <c r="B55" s="15">
        <f t="shared" si="10"/>
        <v>0</v>
      </c>
      <c r="C55" s="16">
        <f t="shared" si="11"/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</row>
    <row r="56" spans="1:51" hidden="1" outlineLevel="1">
      <c r="A56" s="5" t="s">
        <v>162</v>
      </c>
      <c r="B56" s="15">
        <f t="shared" si="10"/>
        <v>0</v>
      </c>
      <c r="C56" s="16">
        <f t="shared" si="11"/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</row>
    <row r="57" spans="1:51" hidden="1" outlineLevel="1">
      <c r="A57" s="5" t="s">
        <v>163</v>
      </c>
      <c r="B57" s="15">
        <f t="shared" si="10"/>
        <v>37</v>
      </c>
      <c r="C57" s="16">
        <f t="shared" si="11"/>
        <v>0.77083333333333337</v>
      </c>
      <c r="D57">
        <v>0</v>
      </c>
      <c r="E57">
        <v>1</v>
      </c>
      <c r="F57">
        <v>0</v>
      </c>
      <c r="G57">
        <v>1</v>
      </c>
      <c r="H57">
        <v>0</v>
      </c>
      <c r="I57">
        <v>0</v>
      </c>
      <c r="J57">
        <v>0</v>
      </c>
      <c r="K57">
        <v>1</v>
      </c>
      <c r="L57">
        <v>1</v>
      </c>
      <c r="M57">
        <v>1</v>
      </c>
      <c r="N57">
        <v>1</v>
      </c>
      <c r="O57">
        <v>2</v>
      </c>
      <c r="P57">
        <v>2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0</v>
      </c>
      <c r="X57">
        <v>1</v>
      </c>
      <c r="Y57">
        <v>1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0</v>
      </c>
      <c r="AQ57">
        <v>0</v>
      </c>
      <c r="AR57">
        <v>0</v>
      </c>
      <c r="AS57">
        <v>1</v>
      </c>
      <c r="AT57">
        <v>1</v>
      </c>
      <c r="AU57">
        <v>0</v>
      </c>
      <c r="AV57">
        <v>1</v>
      </c>
      <c r="AW57">
        <v>1</v>
      </c>
      <c r="AX57">
        <v>1</v>
      </c>
      <c r="AY57">
        <v>1</v>
      </c>
    </row>
    <row r="58" spans="1:51" hidden="1" outlineLevel="1">
      <c r="A58" s="5" t="s">
        <v>164</v>
      </c>
      <c r="B58" s="15">
        <f t="shared" si="10"/>
        <v>0</v>
      </c>
      <c r="C58" s="16">
        <f t="shared" si="11"/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 hidden="1" outlineLevel="1">
      <c r="A59" s="5" t="s">
        <v>168</v>
      </c>
      <c r="B59" s="15">
        <f t="shared" si="10"/>
        <v>45</v>
      </c>
      <c r="C59" s="16">
        <f t="shared" si="11"/>
        <v>0.9375</v>
      </c>
      <c r="D59">
        <v>0</v>
      </c>
      <c r="E59">
        <v>2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3</v>
      </c>
      <c r="N59">
        <v>0</v>
      </c>
      <c r="O59">
        <v>1</v>
      </c>
      <c r="P59">
        <v>2</v>
      </c>
      <c r="Q59">
        <v>2</v>
      </c>
      <c r="R59">
        <v>7</v>
      </c>
      <c r="S59">
        <v>8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10</v>
      </c>
      <c r="AG59">
        <v>2</v>
      </c>
      <c r="AH59">
        <v>1</v>
      </c>
      <c r="AI59">
        <v>0</v>
      </c>
      <c r="AJ59">
        <v>0</v>
      </c>
      <c r="AK59">
        <v>0</v>
      </c>
      <c r="AL59">
        <v>1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1</v>
      </c>
      <c r="AW59">
        <v>0</v>
      </c>
      <c r="AX59">
        <v>0</v>
      </c>
      <c r="AY59">
        <v>4</v>
      </c>
    </row>
    <row r="60" spans="1:51" hidden="1" outlineLevel="1">
      <c r="A60" s="5" t="s">
        <v>165</v>
      </c>
      <c r="B60" s="15">
        <f t="shared" si="10"/>
        <v>16</v>
      </c>
      <c r="C60" s="16">
        <f t="shared" si="11"/>
        <v>0.33333333333333331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>
        <v>1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1</v>
      </c>
      <c r="AH60">
        <v>1</v>
      </c>
      <c r="AI60">
        <v>0</v>
      </c>
      <c r="AJ60">
        <v>0</v>
      </c>
      <c r="AK60">
        <v>0</v>
      </c>
      <c r="AL60">
        <v>3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8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hidden="1" outlineLevel="1">
      <c r="A61" s="5" t="s">
        <v>166</v>
      </c>
      <c r="B61" s="15">
        <f t="shared" si="10"/>
        <v>36</v>
      </c>
      <c r="C61" s="16">
        <f t="shared" si="11"/>
        <v>0.75</v>
      </c>
      <c r="D61">
        <v>0</v>
      </c>
      <c r="E61">
        <v>1</v>
      </c>
      <c r="F61">
        <v>0</v>
      </c>
      <c r="G61">
        <v>1</v>
      </c>
      <c r="H61">
        <v>0</v>
      </c>
      <c r="I61">
        <v>0</v>
      </c>
      <c r="J61">
        <v>1</v>
      </c>
      <c r="K61">
        <v>1</v>
      </c>
      <c r="L61">
        <v>1</v>
      </c>
      <c r="M61">
        <v>0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0</v>
      </c>
      <c r="V61">
        <v>1</v>
      </c>
      <c r="W61">
        <v>1</v>
      </c>
      <c r="X61">
        <v>1</v>
      </c>
      <c r="Y61">
        <v>2</v>
      </c>
      <c r="Z61">
        <v>0</v>
      </c>
      <c r="AA61">
        <v>0</v>
      </c>
      <c r="AB61">
        <v>0</v>
      </c>
      <c r="AC61">
        <v>1</v>
      </c>
      <c r="AD61">
        <v>1</v>
      </c>
      <c r="AE61">
        <v>1</v>
      </c>
      <c r="AF61">
        <v>0</v>
      </c>
      <c r="AG61">
        <v>1</v>
      </c>
      <c r="AH61">
        <v>1</v>
      </c>
      <c r="AI61">
        <v>1</v>
      </c>
      <c r="AJ61">
        <v>1</v>
      </c>
      <c r="AK61">
        <v>0</v>
      </c>
      <c r="AL61">
        <v>1</v>
      </c>
      <c r="AM61">
        <v>2</v>
      </c>
      <c r="AN61">
        <v>1</v>
      </c>
      <c r="AO61">
        <v>1</v>
      </c>
      <c r="AP61">
        <v>1</v>
      </c>
      <c r="AQ61">
        <v>1</v>
      </c>
      <c r="AR61">
        <v>0</v>
      </c>
      <c r="AS61">
        <v>0</v>
      </c>
      <c r="AT61">
        <v>1</v>
      </c>
      <c r="AU61">
        <v>1</v>
      </c>
      <c r="AV61">
        <v>0</v>
      </c>
      <c r="AW61">
        <v>1</v>
      </c>
      <c r="AX61">
        <v>1</v>
      </c>
      <c r="AY61">
        <v>1</v>
      </c>
    </row>
    <row r="62" spans="1:51" hidden="1" outlineLevel="1">
      <c r="A62" s="13" t="s">
        <v>167</v>
      </c>
      <c r="B62" s="15">
        <f t="shared" si="10"/>
        <v>2</v>
      </c>
      <c r="C62" s="16">
        <f t="shared" si="11"/>
        <v>4.1666666666666664E-2</v>
      </c>
      <c r="D62">
        <v>0</v>
      </c>
      <c r="E62">
        <v>0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</row>
    <row r="63" spans="1:51" hidden="1" outlineLevel="1">
      <c r="A63" s="5" t="s">
        <v>173</v>
      </c>
      <c r="B63" s="15">
        <f t="shared" si="10"/>
        <v>45</v>
      </c>
      <c r="C63" s="16">
        <f t="shared" si="11"/>
        <v>0.9375</v>
      </c>
      <c r="D63">
        <v>0</v>
      </c>
      <c r="E63">
        <v>2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>
        <v>0</v>
      </c>
      <c r="Q63">
        <v>0</v>
      </c>
      <c r="R63">
        <v>7</v>
      </c>
      <c r="S63">
        <v>8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2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10</v>
      </c>
      <c r="AG63">
        <v>0</v>
      </c>
      <c r="AH63">
        <v>2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8</v>
      </c>
      <c r="AS63">
        <v>0</v>
      </c>
      <c r="AT63">
        <v>0</v>
      </c>
      <c r="AU63">
        <v>0</v>
      </c>
      <c r="AV63">
        <v>1</v>
      </c>
      <c r="AW63">
        <v>0</v>
      </c>
      <c r="AX63">
        <v>0</v>
      </c>
      <c r="AY63">
        <v>4</v>
      </c>
    </row>
    <row r="64" spans="1:51" hidden="1" outlineLevel="1">
      <c r="A64" s="5" t="s">
        <v>174</v>
      </c>
      <c r="B64" s="15">
        <f t="shared" si="10"/>
        <v>19</v>
      </c>
      <c r="C64" s="16">
        <f t="shared" si="11"/>
        <v>0.39583333333333331</v>
      </c>
      <c r="D64">
        <v>0</v>
      </c>
      <c r="E64">
        <v>1</v>
      </c>
      <c r="F64">
        <v>0</v>
      </c>
      <c r="G64">
        <v>1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1</v>
      </c>
      <c r="O64">
        <v>0</v>
      </c>
      <c r="P64">
        <v>0</v>
      </c>
      <c r="Q64">
        <v>0</v>
      </c>
      <c r="R64">
        <v>1</v>
      </c>
      <c r="S64">
        <v>1</v>
      </c>
      <c r="T64">
        <v>1</v>
      </c>
      <c r="U64">
        <v>0</v>
      </c>
      <c r="V64">
        <v>1</v>
      </c>
      <c r="W64">
        <v>0</v>
      </c>
      <c r="X64">
        <v>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1</v>
      </c>
      <c r="AI64">
        <v>1</v>
      </c>
      <c r="AJ64">
        <v>0</v>
      </c>
      <c r="AK64">
        <v>0</v>
      </c>
      <c r="AL64">
        <v>0</v>
      </c>
      <c r="AM64">
        <v>1</v>
      </c>
      <c r="AN64">
        <v>0</v>
      </c>
      <c r="AO64">
        <v>0</v>
      </c>
      <c r="AP64">
        <v>0</v>
      </c>
      <c r="AQ64">
        <v>1</v>
      </c>
      <c r="AR64">
        <v>0</v>
      </c>
      <c r="AS64">
        <v>0</v>
      </c>
      <c r="AT64">
        <v>1</v>
      </c>
      <c r="AU64">
        <v>1</v>
      </c>
      <c r="AV64">
        <v>0</v>
      </c>
      <c r="AW64">
        <v>1</v>
      </c>
      <c r="AX64">
        <v>1</v>
      </c>
      <c r="AY64">
        <v>1</v>
      </c>
    </row>
    <row r="65" spans="1:51" hidden="1" outlineLevel="1">
      <c r="A65" s="5" t="s">
        <v>175</v>
      </c>
      <c r="B65" s="15">
        <f t="shared" si="10"/>
        <v>0</v>
      </c>
      <c r="C65" s="16">
        <f t="shared" si="11"/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</row>
    <row r="66" spans="1:51" hidden="1" outlineLevel="1">
      <c r="A66" s="5" t="s">
        <v>383</v>
      </c>
      <c r="B66" s="15">
        <f t="shared" si="10"/>
        <v>0</v>
      </c>
      <c r="C66" s="16">
        <f t="shared" si="11"/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</row>
    <row r="67" spans="1:51" hidden="1" outlineLevel="1">
      <c r="A67" s="5" t="s">
        <v>384</v>
      </c>
      <c r="B67" s="15">
        <f t="shared" si="10"/>
        <v>0</v>
      </c>
      <c r="C67" s="16">
        <f t="shared" si="11"/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</row>
    <row r="68" spans="1:51" hidden="1" outlineLevel="1">
      <c r="A68" s="5" t="s">
        <v>385</v>
      </c>
      <c r="B68" s="15">
        <f t="shared" si="10"/>
        <v>297</v>
      </c>
      <c r="C68" s="16">
        <f t="shared" si="11"/>
        <v>6.1875</v>
      </c>
      <c r="D68">
        <v>17</v>
      </c>
      <c r="E68">
        <v>0</v>
      </c>
      <c r="F68">
        <v>0</v>
      </c>
      <c r="G68">
        <v>26</v>
      </c>
      <c r="H68">
        <v>0</v>
      </c>
      <c r="I68">
        <v>4</v>
      </c>
      <c r="J68">
        <v>3</v>
      </c>
      <c r="K68">
        <v>0</v>
      </c>
      <c r="L68">
        <v>0</v>
      </c>
      <c r="M68">
        <v>0</v>
      </c>
      <c r="N68">
        <v>15</v>
      </c>
      <c r="O68">
        <v>0</v>
      </c>
      <c r="P68">
        <v>0</v>
      </c>
      <c r="Q68">
        <v>0</v>
      </c>
      <c r="R68">
        <v>26</v>
      </c>
      <c r="S68">
        <v>7</v>
      </c>
      <c r="T68">
        <v>0</v>
      </c>
      <c r="U68">
        <v>0</v>
      </c>
      <c r="V68">
        <v>12</v>
      </c>
      <c r="W68">
        <v>0</v>
      </c>
      <c r="X68">
        <v>18</v>
      </c>
      <c r="Y68">
        <v>0</v>
      </c>
      <c r="Z68">
        <v>29</v>
      </c>
      <c r="AA68">
        <v>0</v>
      </c>
      <c r="AB68">
        <v>0</v>
      </c>
      <c r="AC68">
        <v>0</v>
      </c>
      <c r="AD68">
        <v>32</v>
      </c>
      <c r="AE68">
        <v>0</v>
      </c>
      <c r="AF68">
        <v>11</v>
      </c>
      <c r="AG68">
        <v>0</v>
      </c>
      <c r="AH68">
        <v>8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23</v>
      </c>
      <c r="AR68">
        <v>1</v>
      </c>
      <c r="AS68">
        <v>0</v>
      </c>
      <c r="AT68">
        <v>14</v>
      </c>
      <c r="AU68">
        <v>13</v>
      </c>
      <c r="AV68">
        <v>3</v>
      </c>
      <c r="AW68">
        <v>13</v>
      </c>
      <c r="AX68">
        <v>22</v>
      </c>
      <c r="AY68">
        <v>0</v>
      </c>
    </row>
    <row r="69" spans="1:51" s="25" customFormat="1" ht="19.5" collapsed="1">
      <c r="A69" s="28" t="s">
        <v>176</v>
      </c>
      <c r="B69" s="26">
        <f>SUM(D69:AY69)</f>
        <v>123</v>
      </c>
      <c r="C69" s="27">
        <f>AVERAGE(D69:AY69)</f>
        <v>2.5625</v>
      </c>
      <c r="D69" s="25">
        <f>SUM(D70:D103)</f>
        <v>4</v>
      </c>
      <c r="E69" s="25">
        <f t="shared" ref="E69:AY69" si="12">SUM(E70:E103)</f>
        <v>5</v>
      </c>
      <c r="F69" s="25">
        <f t="shared" si="12"/>
        <v>0</v>
      </c>
      <c r="G69" s="25">
        <f t="shared" si="12"/>
        <v>10</v>
      </c>
      <c r="H69" s="25">
        <f t="shared" si="12"/>
        <v>1</v>
      </c>
      <c r="I69" s="25">
        <f t="shared" si="12"/>
        <v>8</v>
      </c>
      <c r="J69" s="25">
        <f t="shared" si="12"/>
        <v>4</v>
      </c>
      <c r="K69" s="25">
        <f t="shared" si="12"/>
        <v>0</v>
      </c>
      <c r="L69" s="25">
        <f t="shared" si="12"/>
        <v>0</v>
      </c>
      <c r="M69" s="25">
        <f t="shared" si="12"/>
        <v>4</v>
      </c>
      <c r="N69" s="25">
        <f t="shared" si="12"/>
        <v>1</v>
      </c>
      <c r="O69" s="25">
        <f t="shared" si="12"/>
        <v>1</v>
      </c>
      <c r="P69" s="25">
        <f t="shared" si="12"/>
        <v>2</v>
      </c>
      <c r="Q69" s="25">
        <f t="shared" si="12"/>
        <v>0</v>
      </c>
      <c r="R69" s="25">
        <f t="shared" si="12"/>
        <v>2</v>
      </c>
      <c r="S69" s="25">
        <f t="shared" si="12"/>
        <v>3</v>
      </c>
      <c r="T69" s="25">
        <f t="shared" si="12"/>
        <v>0</v>
      </c>
      <c r="U69" s="25">
        <f t="shared" si="12"/>
        <v>0</v>
      </c>
      <c r="V69" s="25">
        <f t="shared" si="12"/>
        <v>2</v>
      </c>
      <c r="W69" s="25">
        <f t="shared" si="12"/>
        <v>1</v>
      </c>
      <c r="X69" s="25">
        <f t="shared" si="12"/>
        <v>19</v>
      </c>
      <c r="Y69" s="25">
        <f t="shared" si="12"/>
        <v>2</v>
      </c>
      <c r="Z69" s="25">
        <f t="shared" si="12"/>
        <v>4</v>
      </c>
      <c r="AA69" s="25">
        <f t="shared" si="12"/>
        <v>0</v>
      </c>
      <c r="AB69" s="25">
        <f t="shared" si="12"/>
        <v>2</v>
      </c>
      <c r="AC69" s="25">
        <f t="shared" si="12"/>
        <v>0</v>
      </c>
      <c r="AD69" s="25">
        <f t="shared" si="12"/>
        <v>2</v>
      </c>
      <c r="AE69" s="25">
        <f t="shared" si="12"/>
        <v>0</v>
      </c>
      <c r="AF69" s="25">
        <f t="shared" si="12"/>
        <v>4</v>
      </c>
      <c r="AG69" s="25">
        <f t="shared" si="12"/>
        <v>2</v>
      </c>
      <c r="AH69" s="25">
        <f t="shared" si="12"/>
        <v>7</v>
      </c>
      <c r="AI69" s="25">
        <f t="shared" si="12"/>
        <v>1</v>
      </c>
      <c r="AJ69" s="25">
        <f t="shared" si="12"/>
        <v>0</v>
      </c>
      <c r="AK69" s="25">
        <f t="shared" si="12"/>
        <v>2</v>
      </c>
      <c r="AL69" s="25">
        <f t="shared" si="12"/>
        <v>3</v>
      </c>
      <c r="AM69" s="25">
        <f t="shared" si="12"/>
        <v>1</v>
      </c>
      <c r="AN69" s="25">
        <f t="shared" si="12"/>
        <v>0</v>
      </c>
      <c r="AO69" s="25">
        <f t="shared" si="12"/>
        <v>0</v>
      </c>
      <c r="AP69" s="25">
        <f t="shared" si="12"/>
        <v>7</v>
      </c>
      <c r="AQ69" s="25">
        <f t="shared" si="12"/>
        <v>2</v>
      </c>
      <c r="AR69" s="25">
        <f t="shared" si="12"/>
        <v>0</v>
      </c>
      <c r="AS69" s="25">
        <f t="shared" si="12"/>
        <v>0</v>
      </c>
      <c r="AT69" s="25">
        <f t="shared" si="12"/>
        <v>9</v>
      </c>
      <c r="AU69" s="25">
        <f t="shared" si="12"/>
        <v>0</v>
      </c>
      <c r="AV69" s="25">
        <f t="shared" si="12"/>
        <v>5</v>
      </c>
      <c r="AW69" s="25">
        <f t="shared" si="12"/>
        <v>0</v>
      </c>
      <c r="AX69" s="25">
        <f t="shared" si="12"/>
        <v>2</v>
      </c>
      <c r="AY69" s="25">
        <f t="shared" si="12"/>
        <v>1</v>
      </c>
    </row>
    <row r="70" spans="1:51" hidden="1" outlineLevel="1">
      <c r="A70" s="5" t="s">
        <v>190</v>
      </c>
      <c r="B70" s="15">
        <f t="shared" ref="B70:B133" si="13">SUM(D70:AY70)</f>
        <v>0</v>
      </c>
      <c r="C70" s="16">
        <f>AVERAGE(D70:AY70)</f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 hidden="1" outlineLevel="1">
      <c r="A71" s="5" t="s">
        <v>191</v>
      </c>
      <c r="B71" s="15">
        <f t="shared" si="13"/>
        <v>0</v>
      </c>
      <c r="C71" s="16">
        <f t="shared" ref="C71:C134" si="14">AVERAGE(D71:AY71)</f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 hidden="1" outlineLevel="1">
      <c r="A72" s="5" t="s">
        <v>204</v>
      </c>
      <c r="B72" s="15">
        <f t="shared" si="13"/>
        <v>0</v>
      </c>
      <c r="C72" s="16">
        <f t="shared" si="14"/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</row>
    <row r="73" spans="1:51" hidden="1" outlineLevel="1">
      <c r="A73" s="5" t="s">
        <v>203</v>
      </c>
      <c r="B73" s="15">
        <f t="shared" si="13"/>
        <v>0</v>
      </c>
      <c r="C73" s="16">
        <f t="shared" si="14"/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</row>
    <row r="74" spans="1:51" hidden="1" outlineLevel="1">
      <c r="A74" s="5" t="s">
        <v>202</v>
      </c>
      <c r="B74" s="15">
        <f t="shared" si="13"/>
        <v>0</v>
      </c>
      <c r="C74" s="16">
        <f t="shared" si="14"/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 hidden="1" outlineLevel="1">
      <c r="A75" s="5" t="s">
        <v>201</v>
      </c>
      <c r="B75" s="15">
        <f t="shared" si="13"/>
        <v>0</v>
      </c>
      <c r="C75" s="16">
        <f t="shared" si="14"/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 hidden="1" outlineLevel="1">
      <c r="A76" s="5" t="s">
        <v>200</v>
      </c>
      <c r="B76" s="15">
        <f t="shared" si="13"/>
        <v>0</v>
      </c>
      <c r="C76" s="16">
        <f t="shared" si="14"/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 hidden="1" outlineLevel="1">
      <c r="A77" s="5" t="s">
        <v>199</v>
      </c>
      <c r="B77" s="15">
        <f t="shared" si="13"/>
        <v>0</v>
      </c>
      <c r="C77" s="16">
        <f t="shared" si="14"/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</row>
    <row r="78" spans="1:51" hidden="1" outlineLevel="1">
      <c r="A78" s="5" t="s">
        <v>198</v>
      </c>
      <c r="B78" s="15">
        <f t="shared" si="13"/>
        <v>0</v>
      </c>
      <c r="C78" s="16">
        <f t="shared" si="14"/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</row>
    <row r="79" spans="1:51" hidden="1" outlineLevel="1">
      <c r="A79" s="5" t="s">
        <v>177</v>
      </c>
      <c r="B79" s="15">
        <f t="shared" si="13"/>
        <v>0</v>
      </c>
      <c r="C79" s="16">
        <f t="shared" si="14"/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</row>
    <row r="80" spans="1:51" hidden="1" outlineLevel="1">
      <c r="A80" s="5" t="s">
        <v>178</v>
      </c>
      <c r="B80" s="15">
        <f t="shared" si="13"/>
        <v>1</v>
      </c>
      <c r="C80" s="16">
        <f t="shared" si="14"/>
        <v>2.0833333333333332E-2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</row>
    <row r="81" spans="1:51" hidden="1" outlineLevel="1">
      <c r="A81" s="5" t="s">
        <v>197</v>
      </c>
      <c r="B81" s="15">
        <f t="shared" si="13"/>
        <v>6</v>
      </c>
      <c r="C81" s="16">
        <f t="shared" si="14"/>
        <v>0.125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1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1</v>
      </c>
      <c r="AQ81">
        <v>0</v>
      </c>
      <c r="AR81">
        <v>0</v>
      </c>
      <c r="AS81">
        <v>0</v>
      </c>
      <c r="AT81">
        <v>1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 hidden="1" outlineLevel="1">
      <c r="A82" s="5" t="s">
        <v>179</v>
      </c>
      <c r="B82" s="15">
        <f t="shared" si="13"/>
        <v>0</v>
      </c>
      <c r="C82" s="16">
        <f t="shared" si="14"/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 hidden="1" outlineLevel="1">
      <c r="A83" s="5" t="s">
        <v>180</v>
      </c>
      <c r="B83" s="15">
        <f t="shared" si="13"/>
        <v>21</v>
      </c>
      <c r="C83" s="16">
        <f t="shared" si="14"/>
        <v>0.4375</v>
      </c>
      <c r="D83">
        <v>0</v>
      </c>
      <c r="E83">
        <v>0</v>
      </c>
      <c r="F83">
        <v>0</v>
      </c>
      <c r="G83">
        <v>5</v>
      </c>
      <c r="H83">
        <v>0</v>
      </c>
      <c r="I83">
        <v>0</v>
      </c>
      <c r="J83">
        <v>0</v>
      </c>
      <c r="K83">
        <v>0</v>
      </c>
      <c r="L83">
        <v>0</v>
      </c>
      <c r="M83">
        <v>4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</v>
      </c>
      <c r="Y83">
        <v>2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2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1</v>
      </c>
      <c r="AQ83">
        <v>0</v>
      </c>
      <c r="AR83">
        <v>0</v>
      </c>
      <c r="AS83">
        <v>0</v>
      </c>
      <c r="AT83">
        <v>4</v>
      </c>
      <c r="AU83">
        <v>0</v>
      </c>
      <c r="AV83">
        <v>0</v>
      </c>
      <c r="AW83">
        <v>0</v>
      </c>
      <c r="AX83">
        <v>0</v>
      </c>
      <c r="AY83">
        <v>0</v>
      </c>
    </row>
    <row r="84" spans="1:51" hidden="1" outlineLevel="1">
      <c r="A84" s="5" t="s">
        <v>181</v>
      </c>
      <c r="B84" s="15">
        <f t="shared" si="13"/>
        <v>14</v>
      </c>
      <c r="C84" s="16">
        <f t="shared" si="14"/>
        <v>0.29166666666666669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8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2</v>
      </c>
      <c r="AM84">
        <v>0</v>
      </c>
      <c r="AN84">
        <v>0</v>
      </c>
      <c r="AO84">
        <v>0</v>
      </c>
      <c r="AP84">
        <v>4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</row>
    <row r="85" spans="1:51" hidden="1" outlineLevel="1">
      <c r="A85" s="5" t="s">
        <v>182</v>
      </c>
      <c r="B85" s="15">
        <f t="shared" si="13"/>
        <v>0</v>
      </c>
      <c r="C85" s="16">
        <f t="shared" si="14"/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 hidden="1" outlineLevel="1">
      <c r="A86" s="5" t="s">
        <v>196</v>
      </c>
      <c r="B86" s="15">
        <f t="shared" si="13"/>
        <v>0</v>
      </c>
      <c r="C86" s="16">
        <f t="shared" si="14"/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 hidden="1" outlineLevel="1">
      <c r="A87" s="5" t="s">
        <v>195</v>
      </c>
      <c r="B87" s="15">
        <f t="shared" si="13"/>
        <v>2</v>
      </c>
      <c r="C87" s="16">
        <f t="shared" si="14"/>
        <v>4.1666666666666664E-2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2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 hidden="1" outlineLevel="1">
      <c r="A88" s="5" t="s">
        <v>194</v>
      </c>
      <c r="B88" s="15">
        <f t="shared" si="13"/>
        <v>14</v>
      </c>
      <c r="C88" s="16">
        <f t="shared" si="14"/>
        <v>0.29166666666666669</v>
      </c>
      <c r="D88">
        <v>0</v>
      </c>
      <c r="E88">
        <v>3</v>
      </c>
      <c r="F88">
        <v>0</v>
      </c>
      <c r="G88">
        <v>0</v>
      </c>
      <c r="H88">
        <v>0</v>
      </c>
      <c r="I88">
        <v>0</v>
      </c>
      <c r="J88">
        <v>2</v>
      </c>
      <c r="K88">
        <v>0</v>
      </c>
      <c r="L88">
        <v>0</v>
      </c>
      <c r="M88">
        <v>0</v>
      </c>
      <c r="N88">
        <v>0</v>
      </c>
      <c r="O88">
        <v>1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1</v>
      </c>
      <c r="AH88">
        <v>1</v>
      </c>
      <c r="AI88">
        <v>1</v>
      </c>
      <c r="AJ88">
        <v>0</v>
      </c>
      <c r="AK88">
        <v>2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 hidden="1" outlineLevel="1">
      <c r="A89" s="5" t="s">
        <v>183</v>
      </c>
      <c r="B89" s="15">
        <f t="shared" si="13"/>
        <v>1</v>
      </c>
      <c r="C89" s="16">
        <f t="shared" si="14"/>
        <v>2.0833333333333332E-2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</row>
    <row r="90" spans="1:51" hidden="1" outlineLevel="1">
      <c r="A90" s="5" t="s">
        <v>184</v>
      </c>
      <c r="B90" s="15">
        <f t="shared" si="13"/>
        <v>0</v>
      </c>
      <c r="C90" s="16">
        <f t="shared" si="14"/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</row>
    <row r="91" spans="1:51" hidden="1" outlineLevel="1">
      <c r="A91" s="5" t="s">
        <v>193</v>
      </c>
      <c r="B91" s="15">
        <f t="shared" si="13"/>
        <v>0</v>
      </c>
      <c r="C91" s="16">
        <f t="shared" si="14"/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</row>
    <row r="92" spans="1:51" hidden="1" outlineLevel="1">
      <c r="A92" s="5" t="s">
        <v>185</v>
      </c>
      <c r="B92" s="15">
        <f t="shared" si="13"/>
        <v>0</v>
      </c>
      <c r="C92" s="16">
        <f t="shared" si="14"/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</row>
    <row r="93" spans="1:51" hidden="1" outlineLevel="1">
      <c r="A93" s="5" t="s">
        <v>186</v>
      </c>
      <c r="B93" s="15">
        <f t="shared" si="13"/>
        <v>4</v>
      </c>
      <c r="C93" s="16">
        <f t="shared" si="14"/>
        <v>8.3333333333333329E-2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1</v>
      </c>
      <c r="AM93">
        <v>0</v>
      </c>
      <c r="AN93">
        <v>0</v>
      </c>
      <c r="AO93">
        <v>0</v>
      </c>
      <c r="AP93">
        <v>1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</row>
    <row r="94" spans="1:51" hidden="1" outlineLevel="1">
      <c r="A94" s="14" t="s">
        <v>192</v>
      </c>
      <c r="B94" s="15">
        <f t="shared" si="13"/>
        <v>4</v>
      </c>
      <c r="C94" s="16">
        <f t="shared" si="14"/>
        <v>8.3333333333333329E-2</v>
      </c>
      <c r="D94">
        <v>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</row>
    <row r="95" spans="1:51" hidden="1" outlineLevel="1">
      <c r="A95" s="5" t="s">
        <v>187</v>
      </c>
      <c r="B95" s="15">
        <f t="shared" si="13"/>
        <v>0</v>
      </c>
      <c r="C95" s="16">
        <f t="shared" si="14"/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</row>
    <row r="96" spans="1:51" hidden="1" outlineLevel="1">
      <c r="A96" s="5" t="s">
        <v>188</v>
      </c>
      <c r="B96" s="15">
        <f t="shared" si="13"/>
        <v>0</v>
      </c>
      <c r="C96" s="16">
        <f t="shared" si="14"/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</row>
    <row r="97" spans="1:51" hidden="1" outlineLevel="1">
      <c r="A97" s="5" t="s">
        <v>189</v>
      </c>
      <c r="B97" s="15">
        <f t="shared" si="13"/>
        <v>0</v>
      </c>
      <c r="C97" s="16">
        <f t="shared" si="14"/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</row>
    <row r="98" spans="1:51" hidden="1" outlineLevel="1">
      <c r="A98" s="5" t="s">
        <v>205</v>
      </c>
      <c r="B98" s="15">
        <f t="shared" si="13"/>
        <v>1</v>
      </c>
      <c r="C98" s="16">
        <f t="shared" si="14"/>
        <v>2.0833333333333332E-2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</row>
    <row r="99" spans="1:51" hidden="1" outlineLevel="1">
      <c r="A99" s="5" t="s">
        <v>206</v>
      </c>
      <c r="B99" s="15">
        <f t="shared" si="13"/>
        <v>0</v>
      </c>
      <c r="C99" s="16">
        <f t="shared" si="14"/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</row>
    <row r="100" spans="1:51" hidden="1" outlineLevel="1">
      <c r="A100" s="5" t="s">
        <v>207</v>
      </c>
      <c r="B100" s="15">
        <f t="shared" si="13"/>
        <v>14</v>
      </c>
      <c r="C100" s="16">
        <f t="shared" si="14"/>
        <v>0.29166666666666669</v>
      </c>
      <c r="D100">
        <v>0</v>
      </c>
      <c r="E100">
        <v>0</v>
      </c>
      <c r="F100">
        <v>0</v>
      </c>
      <c r="G100">
        <v>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5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2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2</v>
      </c>
      <c r="AU100">
        <v>0</v>
      </c>
      <c r="AV100">
        <v>0</v>
      </c>
      <c r="AW100">
        <v>0</v>
      </c>
      <c r="AX100">
        <v>0</v>
      </c>
      <c r="AY100">
        <v>0</v>
      </c>
    </row>
    <row r="101" spans="1:51" hidden="1" outlineLevel="1">
      <c r="A101" s="5" t="s">
        <v>208</v>
      </c>
      <c r="B101" s="15">
        <f t="shared" si="13"/>
        <v>41</v>
      </c>
      <c r="C101" s="16">
        <f t="shared" si="14"/>
        <v>0.85416666666666663</v>
      </c>
      <c r="D101">
        <v>0</v>
      </c>
      <c r="E101">
        <v>2</v>
      </c>
      <c r="F101">
        <v>0</v>
      </c>
      <c r="G101">
        <v>0</v>
      </c>
      <c r="H101">
        <v>1</v>
      </c>
      <c r="I101">
        <v>8</v>
      </c>
      <c r="J101">
        <v>2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2</v>
      </c>
      <c r="S101">
        <v>2</v>
      </c>
      <c r="T101">
        <v>0</v>
      </c>
      <c r="U101">
        <v>0</v>
      </c>
      <c r="V101">
        <v>2</v>
      </c>
      <c r="W101">
        <v>0</v>
      </c>
      <c r="X101">
        <v>1</v>
      </c>
      <c r="Y101">
        <v>0</v>
      </c>
      <c r="Z101">
        <v>2</v>
      </c>
      <c r="AA101">
        <v>0</v>
      </c>
      <c r="AB101">
        <v>2</v>
      </c>
      <c r="AC101">
        <v>0</v>
      </c>
      <c r="AD101">
        <v>2</v>
      </c>
      <c r="AE101">
        <v>0</v>
      </c>
      <c r="AF101">
        <v>0</v>
      </c>
      <c r="AG101">
        <v>0</v>
      </c>
      <c r="AH101">
        <v>4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2</v>
      </c>
      <c r="AR101">
        <v>0</v>
      </c>
      <c r="AS101">
        <v>0</v>
      </c>
      <c r="AT101">
        <v>2</v>
      </c>
      <c r="AU101">
        <v>0</v>
      </c>
      <c r="AV101">
        <v>5</v>
      </c>
      <c r="AW101">
        <v>0</v>
      </c>
      <c r="AX101">
        <v>2</v>
      </c>
      <c r="AY101">
        <v>0</v>
      </c>
    </row>
    <row r="102" spans="1:51" hidden="1" outlineLevel="1">
      <c r="A102" s="5" t="s">
        <v>209</v>
      </c>
      <c r="B102" s="15">
        <f t="shared" si="13"/>
        <v>0</v>
      </c>
      <c r="C102" s="16">
        <f t="shared" si="14"/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</row>
    <row r="103" spans="1:51" hidden="1" outlineLevel="1">
      <c r="A103" s="5" t="s">
        <v>210</v>
      </c>
      <c r="B103" s="15">
        <f t="shared" si="13"/>
        <v>0</v>
      </c>
      <c r="C103" s="16">
        <f t="shared" si="14"/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</row>
    <row r="104" spans="1:51" s="25" customFormat="1" ht="19.5" collapsed="1">
      <c r="A104" s="28" t="s">
        <v>211</v>
      </c>
      <c r="B104" s="26">
        <f t="shared" si="13"/>
        <v>102</v>
      </c>
      <c r="C104" s="27">
        <f t="shared" si="14"/>
        <v>2.125</v>
      </c>
      <c r="D104" s="25">
        <f>SUM(D105:D179)</f>
        <v>0</v>
      </c>
      <c r="E104" s="25">
        <f t="shared" ref="E104:AY104" si="15">SUM(E105:E179)</f>
        <v>3</v>
      </c>
      <c r="F104" s="25">
        <f t="shared" si="15"/>
        <v>0</v>
      </c>
      <c r="G104" s="25">
        <f t="shared" si="15"/>
        <v>8</v>
      </c>
      <c r="H104" s="25">
        <f t="shared" si="15"/>
        <v>1</v>
      </c>
      <c r="I104" s="25">
        <f t="shared" si="15"/>
        <v>0</v>
      </c>
      <c r="J104" s="25">
        <f t="shared" si="15"/>
        <v>2</v>
      </c>
      <c r="K104" s="25">
        <f t="shared" si="15"/>
        <v>0</v>
      </c>
      <c r="L104" s="25">
        <f t="shared" si="15"/>
        <v>0</v>
      </c>
      <c r="M104" s="25">
        <f t="shared" si="15"/>
        <v>0</v>
      </c>
      <c r="N104" s="25">
        <f t="shared" si="15"/>
        <v>7</v>
      </c>
      <c r="O104" s="25">
        <f t="shared" si="15"/>
        <v>0</v>
      </c>
      <c r="P104" s="25">
        <f t="shared" si="15"/>
        <v>0</v>
      </c>
      <c r="Q104" s="25">
        <f t="shared" si="15"/>
        <v>0</v>
      </c>
      <c r="R104" s="25">
        <f t="shared" si="15"/>
        <v>6</v>
      </c>
      <c r="S104" s="25">
        <f t="shared" si="15"/>
        <v>9</v>
      </c>
      <c r="T104" s="25">
        <f t="shared" si="15"/>
        <v>5</v>
      </c>
      <c r="U104" s="25">
        <f t="shared" si="15"/>
        <v>3</v>
      </c>
      <c r="V104" s="25">
        <f t="shared" si="15"/>
        <v>7</v>
      </c>
      <c r="W104" s="25">
        <f t="shared" si="15"/>
        <v>0</v>
      </c>
      <c r="X104" s="25">
        <f t="shared" si="15"/>
        <v>4</v>
      </c>
      <c r="Y104" s="25">
        <f t="shared" si="15"/>
        <v>0</v>
      </c>
      <c r="Z104" s="25">
        <f t="shared" si="15"/>
        <v>3</v>
      </c>
      <c r="AA104" s="25">
        <f t="shared" si="15"/>
        <v>0</v>
      </c>
      <c r="AB104" s="25">
        <f t="shared" si="15"/>
        <v>0</v>
      </c>
      <c r="AC104" s="25">
        <f t="shared" si="15"/>
        <v>0</v>
      </c>
      <c r="AD104" s="25">
        <f t="shared" si="15"/>
        <v>1</v>
      </c>
      <c r="AE104" s="25">
        <f t="shared" si="15"/>
        <v>0</v>
      </c>
      <c r="AF104" s="25">
        <f t="shared" si="15"/>
        <v>6</v>
      </c>
      <c r="AG104" s="25">
        <f t="shared" si="15"/>
        <v>0</v>
      </c>
      <c r="AH104" s="25">
        <f t="shared" si="15"/>
        <v>2</v>
      </c>
      <c r="AI104" s="25">
        <f t="shared" si="15"/>
        <v>16</v>
      </c>
      <c r="AJ104" s="25">
        <f t="shared" si="15"/>
        <v>0</v>
      </c>
      <c r="AK104" s="25">
        <f t="shared" si="15"/>
        <v>0</v>
      </c>
      <c r="AL104" s="25">
        <f t="shared" si="15"/>
        <v>0</v>
      </c>
      <c r="AM104" s="25">
        <f t="shared" si="15"/>
        <v>0</v>
      </c>
      <c r="AN104" s="25">
        <f t="shared" si="15"/>
        <v>0</v>
      </c>
      <c r="AO104" s="25">
        <f t="shared" si="15"/>
        <v>0</v>
      </c>
      <c r="AP104" s="25">
        <f t="shared" si="15"/>
        <v>0</v>
      </c>
      <c r="AQ104" s="25">
        <f t="shared" si="15"/>
        <v>0</v>
      </c>
      <c r="AR104" s="25">
        <f t="shared" si="15"/>
        <v>2</v>
      </c>
      <c r="AS104" s="25">
        <f t="shared" si="15"/>
        <v>0</v>
      </c>
      <c r="AT104" s="25">
        <f t="shared" si="15"/>
        <v>0</v>
      </c>
      <c r="AU104" s="25">
        <f t="shared" si="15"/>
        <v>0</v>
      </c>
      <c r="AV104" s="25">
        <f t="shared" si="15"/>
        <v>5</v>
      </c>
      <c r="AW104" s="25">
        <f t="shared" si="15"/>
        <v>4</v>
      </c>
      <c r="AX104" s="25">
        <f t="shared" si="15"/>
        <v>6</v>
      </c>
      <c r="AY104" s="25">
        <f t="shared" si="15"/>
        <v>2</v>
      </c>
    </row>
    <row r="105" spans="1:51" hidden="1" outlineLevel="1">
      <c r="A105" s="5" t="s">
        <v>212</v>
      </c>
      <c r="B105" s="15">
        <f t="shared" si="13"/>
        <v>0</v>
      </c>
      <c r="C105" s="16">
        <f t="shared" si="14"/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</row>
    <row r="106" spans="1:51" hidden="1" outlineLevel="1">
      <c r="A106" s="5" t="s">
        <v>213</v>
      </c>
      <c r="B106" s="15">
        <f t="shared" si="13"/>
        <v>0</v>
      </c>
      <c r="C106" s="16">
        <f t="shared" si="14"/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</row>
    <row r="107" spans="1:51" hidden="1" outlineLevel="1">
      <c r="A107" s="5" t="s">
        <v>214</v>
      </c>
      <c r="B107" s="15">
        <f t="shared" si="13"/>
        <v>0</v>
      </c>
      <c r="C107" s="16">
        <f t="shared" si="14"/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</row>
    <row r="108" spans="1:51" hidden="1" outlineLevel="1">
      <c r="A108" s="5" t="s">
        <v>215</v>
      </c>
      <c r="B108" s="15">
        <f t="shared" si="13"/>
        <v>0</v>
      </c>
      <c r="C108" s="16">
        <f t="shared" si="14"/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</row>
    <row r="109" spans="1:51" hidden="1" outlineLevel="1">
      <c r="A109" s="5" t="s">
        <v>216</v>
      </c>
      <c r="B109" s="15">
        <f t="shared" si="13"/>
        <v>0</v>
      </c>
      <c r="C109" s="16">
        <f t="shared" si="14"/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</row>
    <row r="110" spans="1:51" hidden="1" outlineLevel="1">
      <c r="A110" s="5" t="s">
        <v>217</v>
      </c>
      <c r="B110" s="15">
        <f t="shared" si="13"/>
        <v>0</v>
      </c>
      <c r="C110" s="16">
        <f t="shared" si="14"/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</row>
    <row r="111" spans="1:51" hidden="1" outlineLevel="1">
      <c r="A111" s="5" t="s">
        <v>218</v>
      </c>
      <c r="B111" s="15">
        <f t="shared" si="13"/>
        <v>0</v>
      </c>
      <c r="C111" s="16">
        <f t="shared" si="14"/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</row>
    <row r="112" spans="1:51" hidden="1" outlineLevel="1">
      <c r="A112" s="5" t="s">
        <v>219</v>
      </c>
      <c r="B112" s="15">
        <f t="shared" si="13"/>
        <v>0</v>
      </c>
      <c r="C112" s="16">
        <f t="shared" si="14"/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</row>
    <row r="113" spans="1:51" hidden="1" outlineLevel="1">
      <c r="A113" s="5" t="s">
        <v>220</v>
      </c>
      <c r="B113" s="15">
        <f t="shared" si="13"/>
        <v>0</v>
      </c>
      <c r="C113" s="16">
        <f t="shared" si="14"/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</row>
    <row r="114" spans="1:51" hidden="1" outlineLevel="1">
      <c r="A114" s="5" t="s">
        <v>221</v>
      </c>
      <c r="B114" s="15">
        <f t="shared" si="13"/>
        <v>0</v>
      </c>
      <c r="C114" s="16">
        <f t="shared" si="14"/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</row>
    <row r="115" spans="1:51" hidden="1" outlineLevel="1">
      <c r="A115" s="5" t="s">
        <v>222</v>
      </c>
      <c r="B115" s="15">
        <f t="shared" si="13"/>
        <v>0</v>
      </c>
      <c r="C115" s="16">
        <f t="shared" si="14"/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</row>
    <row r="116" spans="1:51" hidden="1" outlineLevel="1">
      <c r="A116" s="5" t="s">
        <v>223</v>
      </c>
      <c r="B116" s="15">
        <f t="shared" si="13"/>
        <v>0</v>
      </c>
      <c r="C116" s="16">
        <f t="shared" si="14"/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</row>
    <row r="117" spans="1:51" hidden="1" outlineLevel="1">
      <c r="A117" s="5" t="s">
        <v>224</v>
      </c>
      <c r="B117" s="15">
        <f t="shared" si="13"/>
        <v>0</v>
      </c>
      <c r="C117" s="16">
        <f t="shared" si="14"/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</row>
    <row r="118" spans="1:51" hidden="1" outlineLevel="1">
      <c r="A118" s="5" t="s">
        <v>225</v>
      </c>
      <c r="B118" s="15">
        <f t="shared" si="13"/>
        <v>0</v>
      </c>
      <c r="C118" s="16">
        <f t="shared" si="14"/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</row>
    <row r="119" spans="1:51" hidden="1" outlineLevel="1">
      <c r="A119" s="5" t="s">
        <v>226</v>
      </c>
      <c r="B119" s="15">
        <f t="shared" si="13"/>
        <v>0</v>
      </c>
      <c r="C119" s="16">
        <f t="shared" si="14"/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</row>
    <row r="120" spans="1:51" hidden="1" outlineLevel="1">
      <c r="A120" s="5" t="s">
        <v>227</v>
      </c>
      <c r="B120" s="15">
        <f t="shared" si="13"/>
        <v>0</v>
      </c>
      <c r="C120" s="16">
        <f t="shared" si="14"/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</row>
    <row r="121" spans="1:51" hidden="1" outlineLevel="1">
      <c r="A121" s="5" t="s">
        <v>228</v>
      </c>
      <c r="B121" s="15">
        <f t="shared" si="13"/>
        <v>0</v>
      </c>
      <c r="C121" s="16">
        <f t="shared" si="14"/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</row>
    <row r="122" spans="1:51" hidden="1" outlineLevel="1">
      <c r="A122" s="5" t="s">
        <v>229</v>
      </c>
      <c r="B122" s="15">
        <f t="shared" si="13"/>
        <v>0</v>
      </c>
      <c r="C122" s="16">
        <f t="shared" si="14"/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</row>
    <row r="123" spans="1:51" hidden="1" outlineLevel="1">
      <c r="A123" s="5" t="s">
        <v>230</v>
      </c>
      <c r="B123" s="15">
        <f t="shared" si="13"/>
        <v>0</v>
      </c>
      <c r="C123" s="16">
        <f t="shared" si="14"/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</row>
    <row r="124" spans="1:51" hidden="1" outlineLevel="1">
      <c r="A124" s="5" t="s">
        <v>231</v>
      </c>
      <c r="B124" s="15">
        <f t="shared" si="13"/>
        <v>0</v>
      </c>
      <c r="C124" s="16">
        <f t="shared" si="14"/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</row>
    <row r="125" spans="1:51" hidden="1" outlineLevel="1">
      <c r="A125" s="5" t="s">
        <v>232</v>
      </c>
      <c r="B125" s="15">
        <f t="shared" si="13"/>
        <v>0</v>
      </c>
      <c r="C125" s="16">
        <f t="shared" si="14"/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</row>
    <row r="126" spans="1:51" hidden="1" outlineLevel="1">
      <c r="A126" s="5" t="s">
        <v>233</v>
      </c>
      <c r="B126" s="15">
        <f t="shared" si="13"/>
        <v>0</v>
      </c>
      <c r="C126" s="16">
        <f t="shared" si="14"/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</row>
    <row r="127" spans="1:51" hidden="1" outlineLevel="1">
      <c r="A127" s="5" t="s">
        <v>234</v>
      </c>
      <c r="B127" s="15">
        <f t="shared" si="13"/>
        <v>0</v>
      </c>
      <c r="C127" s="16">
        <f t="shared" si="14"/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</row>
    <row r="128" spans="1:51" hidden="1" outlineLevel="1">
      <c r="A128" s="5" t="s">
        <v>235</v>
      </c>
      <c r="B128" s="15">
        <f t="shared" si="13"/>
        <v>0</v>
      </c>
      <c r="C128" s="16">
        <f t="shared" si="14"/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</row>
    <row r="129" spans="1:51" hidden="1" outlineLevel="1">
      <c r="A129" s="5" t="s">
        <v>236</v>
      </c>
      <c r="B129" s="15">
        <f t="shared" si="13"/>
        <v>0</v>
      </c>
      <c r="C129" s="16">
        <f t="shared" si="14"/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</row>
    <row r="130" spans="1:51" hidden="1" outlineLevel="1">
      <c r="A130" s="5" t="s">
        <v>237</v>
      </c>
      <c r="B130" s="15">
        <f t="shared" si="13"/>
        <v>0</v>
      </c>
      <c r="C130" s="16">
        <f t="shared" si="14"/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</row>
    <row r="131" spans="1:51" hidden="1" outlineLevel="1">
      <c r="A131" s="5" t="s">
        <v>238</v>
      </c>
      <c r="B131" s="15">
        <f t="shared" si="13"/>
        <v>0</v>
      </c>
      <c r="C131" s="16">
        <f t="shared" si="14"/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</row>
    <row r="132" spans="1:51" hidden="1" outlineLevel="1">
      <c r="A132" s="5" t="s">
        <v>239</v>
      </c>
      <c r="B132" s="15">
        <f t="shared" si="13"/>
        <v>0</v>
      </c>
      <c r="C132" s="16">
        <f t="shared" si="14"/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</row>
    <row r="133" spans="1:51" hidden="1" outlineLevel="1">
      <c r="A133" s="5" t="s">
        <v>240</v>
      </c>
      <c r="B133" s="15">
        <f t="shared" si="13"/>
        <v>0</v>
      </c>
      <c r="C133" s="16">
        <f t="shared" si="14"/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</row>
    <row r="134" spans="1:51" hidden="1" outlineLevel="1">
      <c r="A134" s="5" t="s">
        <v>241</v>
      </c>
      <c r="B134" s="15">
        <f t="shared" ref="B134:B197" si="16">SUM(D134:AY134)</f>
        <v>0</v>
      </c>
      <c r="C134" s="16">
        <f t="shared" si="14"/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</row>
    <row r="135" spans="1:51" hidden="1" outlineLevel="1">
      <c r="A135" s="5" t="s">
        <v>242</v>
      </c>
      <c r="B135" s="15">
        <f t="shared" si="16"/>
        <v>0</v>
      </c>
      <c r="C135" s="16">
        <f t="shared" ref="C135:C198" si="17">AVERAGE(D135:AY135)</f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</row>
    <row r="136" spans="1:51" hidden="1" outlineLevel="1">
      <c r="A136" s="5" t="s">
        <v>243</v>
      </c>
      <c r="B136" s="15">
        <f t="shared" si="16"/>
        <v>0</v>
      </c>
      <c r="C136" s="16">
        <f t="shared" si="17"/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</row>
    <row r="137" spans="1:51" hidden="1" outlineLevel="1">
      <c r="A137" s="5" t="s">
        <v>244</v>
      </c>
      <c r="B137" s="15">
        <f t="shared" si="16"/>
        <v>0</v>
      </c>
      <c r="C137" s="16">
        <f t="shared" si="17"/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</row>
    <row r="138" spans="1:51" hidden="1" outlineLevel="1">
      <c r="A138" s="5" t="s">
        <v>245</v>
      </c>
      <c r="B138" s="15">
        <f t="shared" si="16"/>
        <v>0</v>
      </c>
      <c r="C138" s="16">
        <f t="shared" si="17"/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</row>
    <row r="139" spans="1:51" hidden="1" outlineLevel="1">
      <c r="A139" s="5" t="s">
        <v>246</v>
      </c>
      <c r="B139" s="15">
        <f t="shared" si="16"/>
        <v>0</v>
      </c>
      <c r="C139" s="16">
        <f t="shared" si="17"/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</row>
    <row r="140" spans="1:51" hidden="1" outlineLevel="1">
      <c r="A140" s="5" t="s">
        <v>247</v>
      </c>
      <c r="B140" s="15">
        <f t="shared" si="16"/>
        <v>0</v>
      </c>
      <c r="C140" s="16">
        <f t="shared" si="17"/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</row>
    <row r="141" spans="1:51" hidden="1" outlineLevel="1">
      <c r="A141" s="5" t="s">
        <v>248</v>
      </c>
      <c r="B141" s="15">
        <f t="shared" si="16"/>
        <v>3</v>
      </c>
      <c r="C141" s="16">
        <f t="shared" si="17"/>
        <v>6.25E-2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2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</row>
    <row r="142" spans="1:51" hidden="1" outlineLevel="1">
      <c r="A142" s="5" t="s">
        <v>249</v>
      </c>
      <c r="B142" s="15">
        <f t="shared" si="16"/>
        <v>0</v>
      </c>
      <c r="C142" s="16">
        <f t="shared" si="17"/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</row>
    <row r="143" spans="1:51" hidden="1" outlineLevel="1">
      <c r="A143" s="5" t="s">
        <v>250</v>
      </c>
      <c r="B143" s="15">
        <f t="shared" si="16"/>
        <v>0</v>
      </c>
      <c r="C143" s="16">
        <f t="shared" si="17"/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</row>
    <row r="144" spans="1:51" hidden="1" outlineLevel="1">
      <c r="A144" s="5" t="s">
        <v>251</v>
      </c>
      <c r="B144" s="15">
        <f t="shared" si="16"/>
        <v>0</v>
      </c>
      <c r="C144" s="16">
        <f t="shared" si="17"/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</row>
    <row r="145" spans="1:51" hidden="1" outlineLevel="1">
      <c r="A145" s="5" t="s">
        <v>252</v>
      </c>
      <c r="B145" s="15">
        <f t="shared" si="16"/>
        <v>0</v>
      </c>
      <c r="C145" s="16">
        <f t="shared" si="17"/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</row>
    <row r="146" spans="1:51" hidden="1" outlineLevel="1">
      <c r="A146" s="5" t="s">
        <v>253</v>
      </c>
      <c r="B146" s="15">
        <f t="shared" si="16"/>
        <v>1</v>
      </c>
      <c r="C146" s="16">
        <f t="shared" si="17"/>
        <v>2.0833333333333332E-2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</row>
    <row r="147" spans="1:51" hidden="1" outlineLevel="1">
      <c r="A147" s="5" t="s">
        <v>254</v>
      </c>
      <c r="B147" s="15">
        <f t="shared" si="16"/>
        <v>0</v>
      </c>
      <c r="C147" s="16">
        <f t="shared" si="17"/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</row>
    <row r="148" spans="1:51" hidden="1" outlineLevel="1">
      <c r="A148" s="5" t="s">
        <v>255</v>
      </c>
      <c r="B148" s="15">
        <f t="shared" si="16"/>
        <v>0</v>
      </c>
      <c r="C148" s="16">
        <f t="shared" si="17"/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</row>
    <row r="149" spans="1:51" hidden="1" outlineLevel="1">
      <c r="A149" s="5" t="s">
        <v>256</v>
      </c>
      <c r="B149" s="15">
        <f t="shared" si="16"/>
        <v>0</v>
      </c>
      <c r="C149" s="16">
        <f t="shared" si="17"/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</row>
    <row r="150" spans="1:51" hidden="1" outlineLevel="1">
      <c r="A150" s="5" t="s">
        <v>257</v>
      </c>
      <c r="B150" s="15">
        <f t="shared" si="16"/>
        <v>0</v>
      </c>
      <c r="C150" s="16">
        <f t="shared" si="17"/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</row>
    <row r="151" spans="1:51" hidden="1" outlineLevel="1">
      <c r="A151" s="5" t="s">
        <v>258</v>
      </c>
      <c r="B151" s="15">
        <f t="shared" si="16"/>
        <v>0</v>
      </c>
      <c r="C151" s="16">
        <f t="shared" si="17"/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</row>
    <row r="152" spans="1:51" hidden="1" outlineLevel="1">
      <c r="A152" s="5" t="s">
        <v>259</v>
      </c>
      <c r="B152" s="15">
        <f t="shared" si="16"/>
        <v>0</v>
      </c>
      <c r="C152" s="16">
        <f t="shared" si="17"/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</row>
    <row r="153" spans="1:51" hidden="1" outlineLevel="1">
      <c r="A153" s="5" t="s">
        <v>260</v>
      </c>
      <c r="B153" s="15">
        <f t="shared" si="16"/>
        <v>0</v>
      </c>
      <c r="C153" s="16">
        <f t="shared" si="17"/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</row>
    <row r="154" spans="1:51" hidden="1" outlineLevel="1">
      <c r="A154" s="5" t="s">
        <v>261</v>
      </c>
      <c r="B154" s="15">
        <f t="shared" si="16"/>
        <v>0</v>
      </c>
      <c r="C154" s="16">
        <f t="shared" si="17"/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</row>
    <row r="155" spans="1:51" hidden="1" outlineLevel="1">
      <c r="A155" s="5" t="s">
        <v>262</v>
      </c>
      <c r="B155" s="15">
        <f t="shared" si="16"/>
        <v>1</v>
      </c>
      <c r="C155" s="16">
        <f t="shared" si="17"/>
        <v>2.0833333333333332E-2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1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</row>
    <row r="156" spans="1:51" hidden="1" outlineLevel="1">
      <c r="A156" s="5" t="s">
        <v>263</v>
      </c>
      <c r="B156" s="15">
        <f t="shared" si="16"/>
        <v>7</v>
      </c>
      <c r="C156" s="16">
        <f t="shared" si="17"/>
        <v>0.14583333333333334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7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</row>
    <row r="157" spans="1:51" hidden="1" outlineLevel="1">
      <c r="A157" s="5" t="s">
        <v>264</v>
      </c>
      <c r="B157" s="15">
        <f t="shared" si="16"/>
        <v>13</v>
      </c>
      <c r="C157" s="16">
        <f t="shared" si="17"/>
        <v>0.27083333333333331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1</v>
      </c>
      <c r="S157">
        <v>1</v>
      </c>
      <c r="T157">
        <v>2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4</v>
      </c>
      <c r="AG157">
        <v>0</v>
      </c>
      <c r="AH157">
        <v>0</v>
      </c>
      <c r="AI157">
        <v>1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4</v>
      </c>
      <c r="AY157">
        <v>0</v>
      </c>
    </row>
    <row r="158" spans="1:51" hidden="1" outlineLevel="1">
      <c r="A158" s="5" t="s">
        <v>265</v>
      </c>
      <c r="B158" s="15">
        <f t="shared" si="16"/>
        <v>3</v>
      </c>
      <c r="C158" s="16">
        <f t="shared" si="17"/>
        <v>6.25E-2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2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</row>
    <row r="159" spans="1:51" hidden="1" outlineLevel="1">
      <c r="A159" s="5" t="s">
        <v>266</v>
      </c>
      <c r="B159" s="15">
        <f t="shared" si="16"/>
        <v>0</v>
      </c>
      <c r="C159" s="16">
        <f t="shared" si="17"/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</row>
    <row r="160" spans="1:51" hidden="1" outlineLevel="1">
      <c r="A160" s="5" t="s">
        <v>267</v>
      </c>
      <c r="B160" s="15">
        <f t="shared" si="16"/>
        <v>13</v>
      </c>
      <c r="C160" s="16">
        <f t="shared" si="17"/>
        <v>0.27083333333333331</v>
      </c>
      <c r="D160">
        <v>0</v>
      </c>
      <c r="E160">
        <v>0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4</v>
      </c>
      <c r="O160">
        <v>0</v>
      </c>
      <c r="P160">
        <v>0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2</v>
      </c>
      <c r="AI160">
        <v>5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</row>
    <row r="161" spans="1:51" hidden="1" outlineLevel="1">
      <c r="A161" s="5" t="s">
        <v>268</v>
      </c>
      <c r="B161" s="15">
        <f t="shared" si="16"/>
        <v>60</v>
      </c>
      <c r="C161" s="16">
        <f t="shared" si="17"/>
        <v>1.25</v>
      </c>
      <c r="D161">
        <v>0</v>
      </c>
      <c r="E161">
        <v>3</v>
      </c>
      <c r="F161">
        <v>0</v>
      </c>
      <c r="G161">
        <v>8</v>
      </c>
      <c r="H161">
        <v>0</v>
      </c>
      <c r="I161">
        <v>0</v>
      </c>
      <c r="J161">
        <v>2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5</v>
      </c>
      <c r="S161">
        <v>5</v>
      </c>
      <c r="T161">
        <v>3</v>
      </c>
      <c r="U161">
        <v>3</v>
      </c>
      <c r="V161">
        <v>7</v>
      </c>
      <c r="W161">
        <v>0</v>
      </c>
      <c r="X161">
        <v>2</v>
      </c>
      <c r="Y161">
        <v>0</v>
      </c>
      <c r="Z161">
        <v>2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2</v>
      </c>
      <c r="AG161">
        <v>0</v>
      </c>
      <c r="AH161">
        <v>0</v>
      </c>
      <c r="AI161">
        <v>3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2</v>
      </c>
      <c r="AS161">
        <v>0</v>
      </c>
      <c r="AT161">
        <v>0</v>
      </c>
      <c r="AU161">
        <v>0</v>
      </c>
      <c r="AV161">
        <v>5</v>
      </c>
      <c r="AW161">
        <v>4</v>
      </c>
      <c r="AX161">
        <v>2</v>
      </c>
      <c r="AY161">
        <v>2</v>
      </c>
    </row>
    <row r="162" spans="1:51" hidden="1" outlineLevel="1">
      <c r="A162" s="5" t="s">
        <v>269</v>
      </c>
      <c r="B162" s="15">
        <f t="shared" si="16"/>
        <v>1</v>
      </c>
      <c r="C162" s="16">
        <f t="shared" si="17"/>
        <v>2.0833333333333332E-2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</row>
    <row r="163" spans="1:51" hidden="1" outlineLevel="1">
      <c r="A163" s="5" t="s">
        <v>270</v>
      </c>
      <c r="B163" s="15">
        <f t="shared" si="16"/>
        <v>0</v>
      </c>
      <c r="C163" s="16">
        <f t="shared" si="17"/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</row>
    <row r="164" spans="1:51" hidden="1" outlineLevel="1">
      <c r="A164" s="5" t="s">
        <v>271</v>
      </c>
      <c r="B164" s="15">
        <f t="shared" si="16"/>
        <v>0</v>
      </c>
      <c r="C164" s="16">
        <f t="shared" si="17"/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</row>
    <row r="165" spans="1:51" hidden="1" outlineLevel="1">
      <c r="A165" s="5" t="s">
        <v>272</v>
      </c>
      <c r="B165" s="15">
        <f t="shared" si="16"/>
        <v>0</v>
      </c>
      <c r="C165" s="16">
        <f t="shared" si="17"/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</row>
    <row r="166" spans="1:51" hidden="1" outlineLevel="1">
      <c r="A166" s="5" t="s">
        <v>273</v>
      </c>
      <c r="B166" s="15">
        <f t="shared" si="16"/>
        <v>0</v>
      </c>
      <c r="C166" s="16">
        <f t="shared" si="17"/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</row>
    <row r="167" spans="1:51" hidden="1" outlineLevel="1">
      <c r="A167" s="5" t="s">
        <v>274</v>
      </c>
      <c r="B167" s="15">
        <f t="shared" si="16"/>
        <v>0</v>
      </c>
      <c r="C167" s="16">
        <f t="shared" si="17"/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</row>
    <row r="168" spans="1:51" hidden="1" outlineLevel="1">
      <c r="A168" s="5" t="s">
        <v>275</v>
      </c>
      <c r="B168" s="15">
        <f t="shared" si="16"/>
        <v>0</v>
      </c>
      <c r="C168" s="16">
        <f t="shared" si="17"/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</row>
    <row r="169" spans="1:51" hidden="1" outlineLevel="1">
      <c r="A169" s="5" t="s">
        <v>276</v>
      </c>
      <c r="B169" s="15">
        <f t="shared" si="16"/>
        <v>0</v>
      </c>
      <c r="C169" s="16">
        <f t="shared" si="17"/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</row>
    <row r="170" spans="1:51" hidden="1" outlineLevel="1">
      <c r="A170" s="5" t="s">
        <v>277</v>
      </c>
      <c r="B170" s="15">
        <f t="shared" si="16"/>
        <v>0</v>
      </c>
      <c r="C170" s="16">
        <f t="shared" si="17"/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</row>
    <row r="171" spans="1:51" hidden="1" outlineLevel="1">
      <c r="A171" s="5" t="s">
        <v>278</v>
      </c>
      <c r="B171" s="15">
        <f t="shared" si="16"/>
        <v>0</v>
      </c>
      <c r="C171" s="16">
        <f t="shared" si="17"/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</row>
    <row r="172" spans="1:51" hidden="1" outlineLevel="1">
      <c r="A172" s="5" t="s">
        <v>279</v>
      </c>
      <c r="B172" s="15">
        <f t="shared" si="16"/>
        <v>0</v>
      </c>
      <c r="C172" s="16">
        <f t="shared" si="17"/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</row>
    <row r="173" spans="1:51" hidden="1" outlineLevel="1">
      <c r="A173" s="5" t="s">
        <v>280</v>
      </c>
      <c r="B173" s="15">
        <f t="shared" si="16"/>
        <v>0</v>
      </c>
      <c r="C173" s="16">
        <f t="shared" si="17"/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</row>
    <row r="174" spans="1:51" hidden="1" outlineLevel="1">
      <c r="A174" s="5" t="s">
        <v>281</v>
      </c>
      <c r="B174" s="15">
        <f t="shared" si="16"/>
        <v>0</v>
      </c>
      <c r="C174" s="16">
        <f t="shared" si="17"/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</row>
    <row r="175" spans="1:51" hidden="1" outlineLevel="1">
      <c r="A175" s="5" t="s">
        <v>282</v>
      </c>
      <c r="B175" s="15">
        <f t="shared" si="16"/>
        <v>0</v>
      </c>
      <c r="C175" s="16">
        <f t="shared" si="17"/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</row>
    <row r="176" spans="1:51" hidden="1" outlineLevel="1">
      <c r="A176" s="5" t="s">
        <v>283</v>
      </c>
      <c r="B176" s="15">
        <f t="shared" si="16"/>
        <v>0</v>
      </c>
      <c r="C176" s="16">
        <f t="shared" si="17"/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</row>
    <row r="177" spans="1:51" hidden="1" outlineLevel="1">
      <c r="A177" s="5" t="s">
        <v>284</v>
      </c>
      <c r="B177" s="15">
        <f t="shared" si="16"/>
        <v>0</v>
      </c>
      <c r="C177" s="16">
        <f t="shared" si="17"/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</row>
    <row r="178" spans="1:51" hidden="1" outlineLevel="1">
      <c r="A178" s="5" t="s">
        <v>285</v>
      </c>
      <c r="B178" s="15">
        <f t="shared" si="16"/>
        <v>0</v>
      </c>
      <c r="C178" s="16">
        <f t="shared" si="17"/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</row>
    <row r="179" spans="1:51" hidden="1" outlineLevel="1">
      <c r="A179" s="5" t="s">
        <v>286</v>
      </c>
      <c r="B179" s="15">
        <f t="shared" si="16"/>
        <v>0</v>
      </c>
      <c r="C179" s="16">
        <f t="shared" si="17"/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</row>
    <row r="180" spans="1:51" s="25" customFormat="1" ht="19.5" collapsed="1">
      <c r="A180" s="28" t="s">
        <v>287</v>
      </c>
      <c r="B180" s="26">
        <f t="shared" si="16"/>
        <v>87</v>
      </c>
      <c r="C180" s="27">
        <f t="shared" si="17"/>
        <v>1.8125</v>
      </c>
      <c r="D180" s="25">
        <f>SUM(D181:D194)</f>
        <v>0</v>
      </c>
      <c r="E180" s="25">
        <f t="shared" ref="E180:AY180" si="18">SUM(E181:E194)</f>
        <v>6</v>
      </c>
      <c r="F180" s="25">
        <f t="shared" si="18"/>
        <v>0</v>
      </c>
      <c r="G180" s="25">
        <f t="shared" si="18"/>
        <v>2</v>
      </c>
      <c r="H180" s="25">
        <f t="shared" si="18"/>
        <v>4</v>
      </c>
      <c r="I180" s="25">
        <f t="shared" si="18"/>
        <v>6</v>
      </c>
      <c r="J180" s="25">
        <f t="shared" si="18"/>
        <v>4</v>
      </c>
      <c r="K180" s="25">
        <f t="shared" si="18"/>
        <v>0</v>
      </c>
      <c r="L180" s="25">
        <f t="shared" si="18"/>
        <v>0</v>
      </c>
      <c r="M180" s="25">
        <f t="shared" si="18"/>
        <v>0</v>
      </c>
      <c r="N180" s="25">
        <f t="shared" si="18"/>
        <v>2</v>
      </c>
      <c r="O180" s="25">
        <f t="shared" si="18"/>
        <v>0</v>
      </c>
      <c r="P180" s="25">
        <f t="shared" si="18"/>
        <v>0</v>
      </c>
      <c r="Q180" s="25">
        <f t="shared" si="18"/>
        <v>0</v>
      </c>
      <c r="R180" s="25">
        <f t="shared" si="18"/>
        <v>3</v>
      </c>
      <c r="S180" s="25">
        <f t="shared" si="18"/>
        <v>2</v>
      </c>
      <c r="T180" s="25">
        <f t="shared" si="18"/>
        <v>0</v>
      </c>
      <c r="U180" s="25">
        <f t="shared" si="18"/>
        <v>4</v>
      </c>
      <c r="V180" s="25">
        <f t="shared" si="18"/>
        <v>2</v>
      </c>
      <c r="W180" s="25">
        <f t="shared" si="18"/>
        <v>0</v>
      </c>
      <c r="X180" s="25">
        <f t="shared" si="18"/>
        <v>5</v>
      </c>
      <c r="Y180" s="25">
        <f t="shared" si="18"/>
        <v>0</v>
      </c>
      <c r="Z180" s="25">
        <f t="shared" si="18"/>
        <v>4</v>
      </c>
      <c r="AA180" s="25">
        <f t="shared" si="18"/>
        <v>0</v>
      </c>
      <c r="AB180" s="25">
        <f t="shared" si="18"/>
        <v>2</v>
      </c>
      <c r="AC180" s="25">
        <f t="shared" si="18"/>
        <v>0</v>
      </c>
      <c r="AD180" s="25">
        <f t="shared" si="18"/>
        <v>0</v>
      </c>
      <c r="AE180" s="25">
        <f t="shared" si="18"/>
        <v>0</v>
      </c>
      <c r="AF180" s="25">
        <f t="shared" si="18"/>
        <v>4</v>
      </c>
      <c r="AG180" s="25">
        <f t="shared" si="18"/>
        <v>0</v>
      </c>
      <c r="AH180" s="25">
        <f t="shared" si="18"/>
        <v>6</v>
      </c>
      <c r="AI180" s="25">
        <f t="shared" si="18"/>
        <v>2</v>
      </c>
      <c r="AJ180" s="25">
        <f t="shared" si="18"/>
        <v>0</v>
      </c>
      <c r="AK180" s="25">
        <f t="shared" si="18"/>
        <v>0</v>
      </c>
      <c r="AL180" s="25">
        <f t="shared" si="18"/>
        <v>0</v>
      </c>
      <c r="AM180" s="25">
        <f t="shared" si="18"/>
        <v>4</v>
      </c>
      <c r="AN180" s="25">
        <f t="shared" si="18"/>
        <v>0</v>
      </c>
      <c r="AO180" s="25">
        <f t="shared" si="18"/>
        <v>0</v>
      </c>
      <c r="AP180" s="25">
        <f t="shared" si="18"/>
        <v>0</v>
      </c>
      <c r="AQ180" s="25">
        <f t="shared" si="18"/>
        <v>7</v>
      </c>
      <c r="AR180" s="25">
        <f t="shared" si="18"/>
        <v>0</v>
      </c>
      <c r="AS180" s="25">
        <f t="shared" si="18"/>
        <v>0</v>
      </c>
      <c r="AT180" s="25">
        <f t="shared" si="18"/>
        <v>4</v>
      </c>
      <c r="AU180" s="25">
        <f t="shared" si="18"/>
        <v>0</v>
      </c>
      <c r="AV180" s="25">
        <f t="shared" si="18"/>
        <v>2</v>
      </c>
      <c r="AW180" s="25">
        <f t="shared" si="18"/>
        <v>2</v>
      </c>
      <c r="AX180" s="25">
        <f t="shared" si="18"/>
        <v>6</v>
      </c>
      <c r="AY180" s="25">
        <f t="shared" si="18"/>
        <v>4</v>
      </c>
    </row>
    <row r="181" spans="1:51" hidden="1" outlineLevel="1">
      <c r="A181" s="5" t="s">
        <v>288</v>
      </c>
      <c r="B181" s="15">
        <f t="shared" si="16"/>
        <v>0</v>
      </c>
      <c r="C181" s="16">
        <f t="shared" si="17"/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</row>
    <row r="182" spans="1:51" hidden="1" outlineLevel="1">
      <c r="A182" s="5" t="s">
        <v>289</v>
      </c>
      <c r="B182" s="15">
        <f t="shared" si="16"/>
        <v>0</v>
      </c>
      <c r="C182" s="16">
        <f t="shared" si="17"/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</row>
    <row r="183" spans="1:51" hidden="1" outlineLevel="1">
      <c r="A183" s="5" t="s">
        <v>290</v>
      </c>
      <c r="B183" s="15">
        <f t="shared" si="16"/>
        <v>0</v>
      </c>
      <c r="C183" s="16">
        <f t="shared" si="17"/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</row>
    <row r="184" spans="1:51" hidden="1" outlineLevel="1">
      <c r="A184" s="5" t="s">
        <v>291</v>
      </c>
      <c r="B184" s="15">
        <f t="shared" si="16"/>
        <v>0</v>
      </c>
      <c r="C184" s="16">
        <f t="shared" si="17"/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</row>
    <row r="185" spans="1:51" hidden="1" outlineLevel="1">
      <c r="A185" s="5" t="s">
        <v>292</v>
      </c>
      <c r="B185" s="15">
        <f t="shared" si="16"/>
        <v>0</v>
      </c>
      <c r="C185" s="16">
        <f t="shared" si="17"/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</row>
    <row r="186" spans="1:51" hidden="1" outlineLevel="1">
      <c r="A186" s="5" t="s">
        <v>293</v>
      </c>
      <c r="B186" s="15">
        <f t="shared" si="16"/>
        <v>0</v>
      </c>
      <c r="C186" s="16">
        <f t="shared" si="17"/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</row>
    <row r="187" spans="1:51" hidden="1" outlineLevel="1">
      <c r="A187" s="5" t="s">
        <v>294</v>
      </c>
      <c r="B187" s="15">
        <f t="shared" si="16"/>
        <v>0</v>
      </c>
      <c r="C187" s="16">
        <f t="shared" si="17"/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</row>
    <row r="188" spans="1:51" hidden="1" outlineLevel="1">
      <c r="A188" s="5" t="s">
        <v>295</v>
      </c>
      <c r="B188" s="15">
        <f t="shared" si="16"/>
        <v>0</v>
      </c>
      <c r="C188" s="16">
        <f t="shared" si="17"/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</row>
    <row r="189" spans="1:51" hidden="1" outlineLevel="1">
      <c r="A189" s="5" t="s">
        <v>296</v>
      </c>
      <c r="B189" s="15">
        <f t="shared" si="16"/>
        <v>0</v>
      </c>
      <c r="C189" s="16">
        <f t="shared" si="17"/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</row>
    <row r="190" spans="1:51" hidden="1" outlineLevel="1">
      <c r="A190" s="5" t="s">
        <v>297</v>
      </c>
      <c r="B190" s="15">
        <f t="shared" si="16"/>
        <v>0</v>
      </c>
      <c r="C190" s="16">
        <f t="shared" si="17"/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</row>
    <row r="191" spans="1:51" hidden="1" outlineLevel="1">
      <c r="A191" s="5" t="s">
        <v>298</v>
      </c>
      <c r="B191" s="15">
        <f t="shared" si="16"/>
        <v>87</v>
      </c>
      <c r="C191" s="16">
        <f t="shared" si="17"/>
        <v>1.8125</v>
      </c>
      <c r="D191">
        <v>0</v>
      </c>
      <c r="E191">
        <v>6</v>
      </c>
      <c r="F191">
        <v>0</v>
      </c>
      <c r="G191">
        <v>2</v>
      </c>
      <c r="H191">
        <v>4</v>
      </c>
      <c r="I191">
        <v>6</v>
      </c>
      <c r="J191">
        <v>4</v>
      </c>
      <c r="K191">
        <v>0</v>
      </c>
      <c r="L191">
        <v>0</v>
      </c>
      <c r="M191">
        <v>0</v>
      </c>
      <c r="N191">
        <v>2</v>
      </c>
      <c r="O191">
        <v>0</v>
      </c>
      <c r="P191">
        <v>0</v>
      </c>
      <c r="Q191">
        <v>0</v>
      </c>
      <c r="R191">
        <v>3</v>
      </c>
      <c r="S191">
        <v>2</v>
      </c>
      <c r="T191">
        <v>0</v>
      </c>
      <c r="U191">
        <v>4</v>
      </c>
      <c r="V191">
        <v>2</v>
      </c>
      <c r="W191">
        <v>0</v>
      </c>
      <c r="X191">
        <v>5</v>
      </c>
      <c r="Y191">
        <v>0</v>
      </c>
      <c r="Z191">
        <v>4</v>
      </c>
      <c r="AA191">
        <v>0</v>
      </c>
      <c r="AB191">
        <v>2</v>
      </c>
      <c r="AC191">
        <v>0</v>
      </c>
      <c r="AD191">
        <v>0</v>
      </c>
      <c r="AE191">
        <v>0</v>
      </c>
      <c r="AF191">
        <v>4</v>
      </c>
      <c r="AG191">
        <v>0</v>
      </c>
      <c r="AH191">
        <v>6</v>
      </c>
      <c r="AI191">
        <v>2</v>
      </c>
      <c r="AJ191">
        <v>0</v>
      </c>
      <c r="AK191">
        <v>0</v>
      </c>
      <c r="AL191">
        <v>0</v>
      </c>
      <c r="AM191">
        <v>4</v>
      </c>
      <c r="AN191">
        <v>0</v>
      </c>
      <c r="AO191">
        <v>0</v>
      </c>
      <c r="AP191">
        <v>0</v>
      </c>
      <c r="AQ191">
        <v>7</v>
      </c>
      <c r="AR191">
        <v>0</v>
      </c>
      <c r="AS191">
        <v>0</v>
      </c>
      <c r="AT191">
        <v>4</v>
      </c>
      <c r="AU191">
        <v>0</v>
      </c>
      <c r="AV191">
        <v>2</v>
      </c>
      <c r="AW191">
        <v>2</v>
      </c>
      <c r="AX191">
        <v>6</v>
      </c>
      <c r="AY191">
        <v>4</v>
      </c>
    </row>
    <row r="192" spans="1:51" hidden="1" outlineLevel="1">
      <c r="A192" s="5" t="s">
        <v>299</v>
      </c>
      <c r="B192" s="15">
        <f t="shared" si="16"/>
        <v>0</v>
      </c>
      <c r="C192" s="16">
        <f t="shared" si="17"/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</row>
    <row r="193" spans="1:51" hidden="1" outlineLevel="1">
      <c r="A193" s="5" t="s">
        <v>300</v>
      </c>
      <c r="B193" s="15">
        <f t="shared" si="16"/>
        <v>0</v>
      </c>
      <c r="C193" s="16">
        <f t="shared" si="17"/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</row>
    <row r="194" spans="1:51" hidden="1" outlineLevel="1">
      <c r="A194" s="5" t="s">
        <v>301</v>
      </c>
      <c r="B194" s="15">
        <f t="shared" si="16"/>
        <v>0</v>
      </c>
      <c r="C194" s="16">
        <f t="shared" si="17"/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</row>
    <row r="195" spans="1:51" s="25" customFormat="1" ht="19.5" collapsed="1">
      <c r="A195" s="28" t="s">
        <v>302</v>
      </c>
      <c r="B195" s="26">
        <f t="shared" si="16"/>
        <v>0</v>
      </c>
      <c r="C195" s="27">
        <f t="shared" si="17"/>
        <v>0</v>
      </c>
      <c r="D195" s="25">
        <f>SUM(D196:D232)</f>
        <v>0</v>
      </c>
      <c r="E195" s="25">
        <f t="shared" ref="E195:AY195" si="19">SUM(E196:E232)</f>
        <v>0</v>
      </c>
      <c r="F195" s="25">
        <f t="shared" si="19"/>
        <v>0</v>
      </c>
      <c r="G195" s="25">
        <f t="shared" si="19"/>
        <v>0</v>
      </c>
      <c r="H195" s="25">
        <f t="shared" si="19"/>
        <v>0</v>
      </c>
      <c r="I195" s="25">
        <f t="shared" si="19"/>
        <v>0</v>
      </c>
      <c r="J195" s="25">
        <f t="shared" si="19"/>
        <v>0</v>
      </c>
      <c r="K195" s="25">
        <f t="shared" si="19"/>
        <v>0</v>
      </c>
      <c r="L195" s="25">
        <f t="shared" si="19"/>
        <v>0</v>
      </c>
      <c r="M195" s="25">
        <f t="shared" si="19"/>
        <v>0</v>
      </c>
      <c r="N195" s="25">
        <f t="shared" si="19"/>
        <v>0</v>
      </c>
      <c r="O195" s="25">
        <f t="shared" si="19"/>
        <v>0</v>
      </c>
      <c r="P195" s="25">
        <f t="shared" si="19"/>
        <v>0</v>
      </c>
      <c r="Q195" s="25">
        <f t="shared" si="19"/>
        <v>0</v>
      </c>
      <c r="R195" s="25">
        <f t="shared" si="19"/>
        <v>0</v>
      </c>
      <c r="S195" s="25">
        <f t="shared" si="19"/>
        <v>0</v>
      </c>
      <c r="T195" s="25">
        <f t="shared" si="19"/>
        <v>0</v>
      </c>
      <c r="U195" s="25">
        <f t="shared" si="19"/>
        <v>0</v>
      </c>
      <c r="V195" s="25">
        <f t="shared" si="19"/>
        <v>0</v>
      </c>
      <c r="W195" s="25">
        <f t="shared" si="19"/>
        <v>0</v>
      </c>
      <c r="X195" s="25">
        <f t="shared" si="19"/>
        <v>0</v>
      </c>
      <c r="Y195" s="25">
        <f t="shared" si="19"/>
        <v>0</v>
      </c>
      <c r="Z195" s="25">
        <f t="shared" si="19"/>
        <v>0</v>
      </c>
      <c r="AA195" s="25">
        <f t="shared" si="19"/>
        <v>0</v>
      </c>
      <c r="AB195" s="25">
        <f t="shared" si="19"/>
        <v>0</v>
      </c>
      <c r="AC195" s="25">
        <f t="shared" si="19"/>
        <v>0</v>
      </c>
      <c r="AD195" s="25">
        <f t="shared" si="19"/>
        <v>0</v>
      </c>
      <c r="AE195" s="25">
        <f t="shared" si="19"/>
        <v>0</v>
      </c>
      <c r="AF195" s="25">
        <f t="shared" si="19"/>
        <v>0</v>
      </c>
      <c r="AG195" s="25">
        <f t="shared" si="19"/>
        <v>0</v>
      </c>
      <c r="AH195" s="25">
        <f t="shared" si="19"/>
        <v>0</v>
      </c>
      <c r="AI195" s="25">
        <f t="shared" si="19"/>
        <v>0</v>
      </c>
      <c r="AJ195" s="25">
        <f t="shared" si="19"/>
        <v>0</v>
      </c>
      <c r="AK195" s="25">
        <f t="shared" si="19"/>
        <v>0</v>
      </c>
      <c r="AL195" s="25">
        <f t="shared" si="19"/>
        <v>0</v>
      </c>
      <c r="AM195" s="25">
        <f t="shared" si="19"/>
        <v>0</v>
      </c>
      <c r="AN195" s="25">
        <f t="shared" si="19"/>
        <v>0</v>
      </c>
      <c r="AO195" s="25">
        <f t="shared" si="19"/>
        <v>0</v>
      </c>
      <c r="AP195" s="25">
        <f t="shared" si="19"/>
        <v>0</v>
      </c>
      <c r="AQ195" s="25">
        <f t="shared" si="19"/>
        <v>0</v>
      </c>
      <c r="AR195" s="25">
        <f t="shared" si="19"/>
        <v>0</v>
      </c>
      <c r="AS195" s="25">
        <f t="shared" si="19"/>
        <v>0</v>
      </c>
      <c r="AT195" s="25">
        <f t="shared" si="19"/>
        <v>0</v>
      </c>
      <c r="AU195" s="25">
        <f t="shared" si="19"/>
        <v>0</v>
      </c>
      <c r="AV195" s="25">
        <f t="shared" si="19"/>
        <v>0</v>
      </c>
      <c r="AW195" s="25">
        <f t="shared" si="19"/>
        <v>0</v>
      </c>
      <c r="AX195" s="25">
        <f t="shared" si="19"/>
        <v>0</v>
      </c>
      <c r="AY195" s="25">
        <f t="shared" si="19"/>
        <v>0</v>
      </c>
    </row>
    <row r="196" spans="1:51" hidden="1" outlineLevel="1">
      <c r="A196" s="5" t="s">
        <v>303</v>
      </c>
      <c r="B196" s="15">
        <f t="shared" si="16"/>
        <v>0</v>
      </c>
      <c r="C196" s="16">
        <f t="shared" si="17"/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</row>
    <row r="197" spans="1:51" hidden="1" outlineLevel="1">
      <c r="A197" s="5" t="s">
        <v>304</v>
      </c>
      <c r="B197" s="15">
        <f t="shared" si="16"/>
        <v>0</v>
      </c>
      <c r="C197" s="16">
        <f t="shared" si="17"/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</row>
    <row r="198" spans="1:51" hidden="1" outlineLevel="1">
      <c r="A198" s="5" t="s">
        <v>305</v>
      </c>
      <c r="B198" s="15">
        <f t="shared" ref="B198:B261" si="20">SUM(D198:AY198)</f>
        <v>0</v>
      </c>
      <c r="C198" s="16">
        <f t="shared" si="17"/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</row>
    <row r="199" spans="1:51" hidden="1" outlineLevel="1">
      <c r="A199" s="5" t="s">
        <v>306</v>
      </c>
      <c r="B199" s="15">
        <f t="shared" si="20"/>
        <v>0</v>
      </c>
      <c r="C199" s="16">
        <f t="shared" ref="C199:C262" si="21">AVERAGE(D199:AY199)</f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</row>
    <row r="200" spans="1:51" hidden="1" outlineLevel="1">
      <c r="A200" s="5" t="s">
        <v>307</v>
      </c>
      <c r="B200" s="15">
        <f t="shared" si="20"/>
        <v>0</v>
      </c>
      <c r="C200" s="16">
        <f t="shared" si="21"/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</row>
    <row r="201" spans="1:51" hidden="1" outlineLevel="1">
      <c r="A201" s="5" t="s">
        <v>308</v>
      </c>
      <c r="B201" s="15">
        <f t="shared" si="20"/>
        <v>0</v>
      </c>
      <c r="C201" s="16">
        <f t="shared" si="21"/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</row>
    <row r="202" spans="1:51" hidden="1" outlineLevel="1">
      <c r="A202" s="5" t="s">
        <v>309</v>
      </c>
      <c r="B202" s="15">
        <f t="shared" si="20"/>
        <v>0</v>
      </c>
      <c r="C202" s="16">
        <f t="shared" si="21"/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</row>
    <row r="203" spans="1:51" hidden="1" outlineLevel="1">
      <c r="A203" s="5" t="s">
        <v>310</v>
      </c>
      <c r="B203" s="15">
        <f t="shared" si="20"/>
        <v>0</v>
      </c>
      <c r="C203" s="16">
        <f t="shared" si="21"/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</row>
    <row r="204" spans="1:51" hidden="1" outlineLevel="1">
      <c r="A204" s="5" t="s">
        <v>311</v>
      </c>
      <c r="B204" s="15">
        <f t="shared" si="20"/>
        <v>0</v>
      </c>
      <c r="C204" s="16">
        <f t="shared" si="21"/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</row>
    <row r="205" spans="1:51" hidden="1" outlineLevel="1">
      <c r="A205" s="5" t="s">
        <v>312</v>
      </c>
      <c r="B205" s="15">
        <f t="shared" si="20"/>
        <v>0</v>
      </c>
      <c r="C205" s="16">
        <f t="shared" si="21"/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</row>
    <row r="206" spans="1:51" hidden="1" outlineLevel="1">
      <c r="A206" s="5" t="s">
        <v>313</v>
      </c>
      <c r="B206" s="15">
        <f t="shared" si="20"/>
        <v>0</v>
      </c>
      <c r="C206" s="16">
        <f t="shared" si="21"/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</row>
    <row r="207" spans="1:51" hidden="1" outlineLevel="1">
      <c r="A207" s="5" t="s">
        <v>314</v>
      </c>
      <c r="B207" s="15">
        <f t="shared" si="20"/>
        <v>0</v>
      </c>
      <c r="C207" s="16">
        <f t="shared" si="21"/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</row>
    <row r="208" spans="1:51" hidden="1" outlineLevel="1">
      <c r="A208" s="5" t="s">
        <v>315</v>
      </c>
      <c r="B208" s="15">
        <f t="shared" si="20"/>
        <v>0</v>
      </c>
      <c r="C208" s="16">
        <f t="shared" si="21"/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</row>
    <row r="209" spans="1:51" hidden="1" outlineLevel="1">
      <c r="A209" s="5" t="s">
        <v>316</v>
      </c>
      <c r="B209" s="15">
        <f t="shared" si="20"/>
        <v>0</v>
      </c>
      <c r="C209" s="16">
        <f t="shared" si="21"/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</row>
    <row r="210" spans="1:51" hidden="1" outlineLevel="1">
      <c r="A210" s="5" t="s">
        <v>317</v>
      </c>
      <c r="B210" s="15">
        <f t="shared" si="20"/>
        <v>0</v>
      </c>
      <c r="C210" s="16">
        <f t="shared" si="21"/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</row>
    <row r="211" spans="1:51" hidden="1" outlineLevel="1">
      <c r="A211" s="5" t="s">
        <v>318</v>
      </c>
      <c r="B211" s="15">
        <f t="shared" si="20"/>
        <v>0</v>
      </c>
      <c r="C211" s="16">
        <f t="shared" si="21"/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</row>
    <row r="212" spans="1:51" hidden="1" outlineLevel="1">
      <c r="A212" s="5" t="s">
        <v>319</v>
      </c>
      <c r="B212" s="15">
        <f t="shared" si="20"/>
        <v>0</v>
      </c>
      <c r="C212" s="16">
        <f t="shared" si="21"/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</row>
    <row r="213" spans="1:51" hidden="1" outlineLevel="1">
      <c r="A213" s="5" t="s">
        <v>320</v>
      </c>
      <c r="B213" s="15">
        <f t="shared" si="20"/>
        <v>0</v>
      </c>
      <c r="C213" s="16">
        <f t="shared" si="21"/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</row>
    <row r="214" spans="1:51" hidden="1" outlineLevel="1">
      <c r="A214" s="5" t="s">
        <v>321</v>
      </c>
      <c r="B214" s="15">
        <f t="shared" si="20"/>
        <v>0</v>
      </c>
      <c r="C214" s="16">
        <f t="shared" si="21"/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</row>
    <row r="215" spans="1:51" hidden="1" outlineLevel="1">
      <c r="A215" s="5" t="s">
        <v>322</v>
      </c>
      <c r="B215" s="15">
        <f t="shared" si="20"/>
        <v>0</v>
      </c>
      <c r="C215" s="16">
        <f t="shared" si="21"/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</row>
    <row r="216" spans="1:51" hidden="1" outlineLevel="1">
      <c r="A216" s="5" t="s">
        <v>323</v>
      </c>
      <c r="B216" s="15">
        <f t="shared" si="20"/>
        <v>0</v>
      </c>
      <c r="C216" s="16">
        <f t="shared" si="21"/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</row>
    <row r="217" spans="1:51" hidden="1" outlineLevel="1">
      <c r="A217" s="5" t="s">
        <v>324</v>
      </c>
      <c r="B217" s="15">
        <f t="shared" si="20"/>
        <v>0</v>
      </c>
      <c r="C217" s="16">
        <f t="shared" si="21"/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</row>
    <row r="218" spans="1:51" hidden="1" outlineLevel="1">
      <c r="A218" s="5" t="s">
        <v>325</v>
      </c>
      <c r="B218" s="15">
        <f t="shared" si="20"/>
        <v>0</v>
      </c>
      <c r="C218" s="16">
        <f t="shared" si="21"/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</row>
    <row r="219" spans="1:51" hidden="1" outlineLevel="1">
      <c r="A219" s="5" t="s">
        <v>326</v>
      </c>
      <c r="B219" s="15">
        <f t="shared" si="20"/>
        <v>0</v>
      </c>
      <c r="C219" s="16">
        <f t="shared" si="21"/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</row>
    <row r="220" spans="1:51" hidden="1" outlineLevel="1">
      <c r="A220" s="5" t="s">
        <v>327</v>
      </c>
      <c r="B220" s="15">
        <f t="shared" si="20"/>
        <v>0</v>
      </c>
      <c r="C220" s="16">
        <f t="shared" si="21"/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</row>
    <row r="221" spans="1:51" hidden="1" outlineLevel="1">
      <c r="A221" s="5" t="s">
        <v>328</v>
      </c>
      <c r="B221" s="15">
        <f t="shared" si="20"/>
        <v>0</v>
      </c>
      <c r="C221" s="16">
        <f t="shared" si="21"/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</row>
    <row r="222" spans="1:51" hidden="1" outlineLevel="1">
      <c r="A222" s="5" t="s">
        <v>329</v>
      </c>
      <c r="B222" s="15">
        <f t="shared" si="20"/>
        <v>0</v>
      </c>
      <c r="C222" s="16">
        <f t="shared" si="21"/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</row>
    <row r="223" spans="1:51" hidden="1" outlineLevel="1">
      <c r="A223" s="5" t="s">
        <v>330</v>
      </c>
      <c r="B223" s="15">
        <f t="shared" si="20"/>
        <v>0</v>
      </c>
      <c r="C223" s="16">
        <f t="shared" si="21"/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</row>
    <row r="224" spans="1:51" hidden="1" outlineLevel="1">
      <c r="A224" s="5" t="s">
        <v>331</v>
      </c>
      <c r="B224" s="15">
        <f t="shared" si="20"/>
        <v>0</v>
      </c>
      <c r="C224" s="16">
        <f t="shared" si="21"/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</row>
    <row r="225" spans="1:51" hidden="1" outlineLevel="1">
      <c r="A225" s="5" t="s">
        <v>332</v>
      </c>
      <c r="B225" s="15">
        <f t="shared" si="20"/>
        <v>0</v>
      </c>
      <c r="C225" s="16">
        <f t="shared" si="21"/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</row>
    <row r="226" spans="1:51" hidden="1" outlineLevel="1">
      <c r="A226" s="5" t="s">
        <v>333</v>
      </c>
      <c r="B226" s="15">
        <f t="shared" si="20"/>
        <v>0</v>
      </c>
      <c r="C226" s="16">
        <f t="shared" si="21"/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</row>
    <row r="227" spans="1:51" hidden="1" outlineLevel="1">
      <c r="A227" s="5" t="s">
        <v>334</v>
      </c>
      <c r="B227" s="15">
        <f t="shared" si="20"/>
        <v>0</v>
      </c>
      <c r="C227" s="16">
        <f t="shared" si="21"/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</row>
    <row r="228" spans="1:51" hidden="1" outlineLevel="1">
      <c r="A228" s="5" t="s">
        <v>335</v>
      </c>
      <c r="B228" s="15">
        <f t="shared" si="20"/>
        <v>0</v>
      </c>
      <c r="C228" s="16">
        <f t="shared" si="21"/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</row>
    <row r="229" spans="1:51" hidden="1" outlineLevel="1">
      <c r="A229" s="5" t="s">
        <v>336</v>
      </c>
      <c r="B229" s="15">
        <f t="shared" si="20"/>
        <v>0</v>
      </c>
      <c r="C229" s="16">
        <f t="shared" si="21"/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</row>
    <row r="230" spans="1:51" hidden="1" outlineLevel="1">
      <c r="A230" s="5" t="s">
        <v>337</v>
      </c>
      <c r="B230" s="15">
        <f t="shared" si="20"/>
        <v>0</v>
      </c>
      <c r="C230" s="16">
        <f t="shared" si="21"/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</row>
    <row r="231" spans="1:51" hidden="1" outlineLevel="1">
      <c r="A231" s="5" t="s">
        <v>338</v>
      </c>
      <c r="B231" s="15">
        <f t="shared" si="20"/>
        <v>0</v>
      </c>
      <c r="C231" s="16">
        <f t="shared" si="21"/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</row>
    <row r="232" spans="1:51" hidden="1" outlineLevel="1">
      <c r="A232" s="5" t="s">
        <v>339</v>
      </c>
      <c r="B232" s="15">
        <f t="shared" si="20"/>
        <v>0</v>
      </c>
      <c r="C232" s="16">
        <f t="shared" si="21"/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</row>
    <row r="233" spans="1:51" s="25" customFormat="1" ht="19.5" collapsed="1">
      <c r="A233" s="28" t="s">
        <v>340</v>
      </c>
      <c r="B233" s="26">
        <f t="shared" si="20"/>
        <v>35</v>
      </c>
      <c r="C233" s="27">
        <f t="shared" si="21"/>
        <v>0.72916666666666663</v>
      </c>
      <c r="D233" s="25">
        <f>SUM(D234:D246)</f>
        <v>0</v>
      </c>
      <c r="E233" s="25">
        <f t="shared" ref="E233:AY233" si="22">SUM(E234:E246)</f>
        <v>5</v>
      </c>
      <c r="F233" s="25">
        <f t="shared" si="22"/>
        <v>1</v>
      </c>
      <c r="G233" s="25">
        <f t="shared" si="22"/>
        <v>0</v>
      </c>
      <c r="H233" s="25">
        <f t="shared" si="22"/>
        <v>0</v>
      </c>
      <c r="I233" s="25">
        <f t="shared" si="22"/>
        <v>0</v>
      </c>
      <c r="J233" s="25">
        <f t="shared" si="22"/>
        <v>2</v>
      </c>
      <c r="K233" s="25">
        <f t="shared" si="22"/>
        <v>1</v>
      </c>
      <c r="L233" s="25">
        <f t="shared" si="22"/>
        <v>1</v>
      </c>
      <c r="M233" s="25">
        <f t="shared" si="22"/>
        <v>1</v>
      </c>
      <c r="N233" s="25">
        <f t="shared" si="22"/>
        <v>0</v>
      </c>
      <c r="O233" s="25">
        <f t="shared" si="22"/>
        <v>1</v>
      </c>
      <c r="P233" s="25">
        <f t="shared" si="22"/>
        <v>1</v>
      </c>
      <c r="Q233" s="25">
        <f t="shared" si="22"/>
        <v>1</v>
      </c>
      <c r="R233" s="25">
        <f t="shared" si="22"/>
        <v>0</v>
      </c>
      <c r="S233" s="25">
        <f t="shared" si="22"/>
        <v>1</v>
      </c>
      <c r="T233" s="25">
        <f t="shared" si="22"/>
        <v>0</v>
      </c>
      <c r="U233" s="25">
        <f t="shared" si="22"/>
        <v>0</v>
      </c>
      <c r="V233" s="25">
        <f t="shared" si="22"/>
        <v>0</v>
      </c>
      <c r="W233" s="25">
        <f t="shared" si="22"/>
        <v>1</v>
      </c>
      <c r="X233" s="25">
        <f t="shared" si="22"/>
        <v>0</v>
      </c>
      <c r="Y233" s="25">
        <f t="shared" si="22"/>
        <v>2</v>
      </c>
      <c r="Z233" s="25">
        <f t="shared" si="22"/>
        <v>2</v>
      </c>
      <c r="AA233" s="25">
        <f t="shared" si="22"/>
        <v>1</v>
      </c>
      <c r="AB233" s="25">
        <f t="shared" si="22"/>
        <v>0</v>
      </c>
      <c r="AC233" s="25">
        <f t="shared" si="22"/>
        <v>1</v>
      </c>
      <c r="AD233" s="25">
        <f t="shared" si="22"/>
        <v>0</v>
      </c>
      <c r="AE233" s="25">
        <f t="shared" si="22"/>
        <v>1</v>
      </c>
      <c r="AF233" s="25">
        <f t="shared" si="22"/>
        <v>0</v>
      </c>
      <c r="AG233" s="25">
        <f t="shared" si="22"/>
        <v>1</v>
      </c>
      <c r="AH233" s="25">
        <f t="shared" si="22"/>
        <v>1</v>
      </c>
      <c r="AI233" s="25">
        <f t="shared" si="22"/>
        <v>1</v>
      </c>
      <c r="AJ233" s="25">
        <f t="shared" si="22"/>
        <v>1</v>
      </c>
      <c r="AK233" s="25">
        <f t="shared" si="22"/>
        <v>1</v>
      </c>
      <c r="AL233" s="25">
        <f t="shared" si="22"/>
        <v>1</v>
      </c>
      <c r="AM233" s="25">
        <f t="shared" si="22"/>
        <v>2</v>
      </c>
      <c r="AN233" s="25">
        <f t="shared" si="22"/>
        <v>1</v>
      </c>
      <c r="AO233" s="25">
        <f t="shared" si="22"/>
        <v>1</v>
      </c>
      <c r="AP233" s="25">
        <f t="shared" si="22"/>
        <v>1</v>
      </c>
      <c r="AQ233" s="25">
        <f t="shared" si="22"/>
        <v>0</v>
      </c>
      <c r="AR233" s="25">
        <f t="shared" si="22"/>
        <v>0</v>
      </c>
      <c r="AS233" s="25">
        <f t="shared" si="22"/>
        <v>1</v>
      </c>
      <c r="AT233" s="25">
        <f t="shared" si="22"/>
        <v>0</v>
      </c>
      <c r="AU233" s="25">
        <f t="shared" si="22"/>
        <v>0</v>
      </c>
      <c r="AV233" s="25">
        <f t="shared" si="22"/>
        <v>0</v>
      </c>
      <c r="AW233" s="25">
        <f t="shared" si="22"/>
        <v>0</v>
      </c>
      <c r="AX233" s="25">
        <f t="shared" si="22"/>
        <v>0</v>
      </c>
      <c r="AY233" s="25">
        <f t="shared" si="22"/>
        <v>0</v>
      </c>
    </row>
    <row r="234" spans="1:51" hidden="1" outlineLevel="1">
      <c r="A234" s="5" t="s">
        <v>341</v>
      </c>
      <c r="B234" s="15">
        <f t="shared" si="20"/>
        <v>12</v>
      </c>
      <c r="C234" s="16">
        <f t="shared" si="21"/>
        <v>0.25</v>
      </c>
      <c r="D234">
        <v>0</v>
      </c>
      <c r="E234">
        <v>5</v>
      </c>
      <c r="F234">
        <v>0</v>
      </c>
      <c r="G234">
        <v>0</v>
      </c>
      <c r="H234">
        <v>0</v>
      </c>
      <c r="I234">
        <v>0</v>
      </c>
      <c r="J234">
        <v>2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2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1</v>
      </c>
      <c r="AI234">
        <v>1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</row>
    <row r="235" spans="1:51" hidden="1" outlineLevel="1">
      <c r="A235" s="5" t="s">
        <v>342</v>
      </c>
      <c r="B235" s="15">
        <f t="shared" si="20"/>
        <v>22</v>
      </c>
      <c r="C235" s="16">
        <f t="shared" si="21"/>
        <v>0.45833333333333331</v>
      </c>
      <c r="D235">
        <v>0</v>
      </c>
      <c r="E235">
        <v>0</v>
      </c>
      <c r="F235">
        <v>1</v>
      </c>
      <c r="G235">
        <v>0</v>
      </c>
      <c r="H235">
        <v>0</v>
      </c>
      <c r="I235">
        <v>0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1</v>
      </c>
      <c r="P235">
        <v>1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2</v>
      </c>
      <c r="Z235">
        <v>0</v>
      </c>
      <c r="AA235">
        <v>1</v>
      </c>
      <c r="AB235">
        <v>0</v>
      </c>
      <c r="AC235">
        <v>1</v>
      </c>
      <c r="AD235">
        <v>0</v>
      </c>
      <c r="AE235">
        <v>1</v>
      </c>
      <c r="AF235">
        <v>0</v>
      </c>
      <c r="AG235">
        <v>1</v>
      </c>
      <c r="AH235">
        <v>0</v>
      </c>
      <c r="AI235">
        <v>0</v>
      </c>
      <c r="AJ235">
        <v>1</v>
      </c>
      <c r="AK235">
        <v>1</v>
      </c>
      <c r="AL235">
        <v>1</v>
      </c>
      <c r="AM235">
        <v>1</v>
      </c>
      <c r="AN235">
        <v>1</v>
      </c>
      <c r="AO235">
        <v>1</v>
      </c>
      <c r="AP235">
        <v>1</v>
      </c>
      <c r="AQ235">
        <v>0</v>
      </c>
      <c r="AR235">
        <v>0</v>
      </c>
      <c r="AS235">
        <v>1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</row>
    <row r="236" spans="1:51" hidden="1" outlineLevel="1">
      <c r="A236" s="5" t="s">
        <v>343</v>
      </c>
      <c r="B236" s="15">
        <f t="shared" si="20"/>
        <v>0</v>
      </c>
      <c r="C236" s="16">
        <f t="shared" si="21"/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</row>
    <row r="237" spans="1:51" hidden="1" outlineLevel="1">
      <c r="A237" s="5" t="s">
        <v>344</v>
      </c>
      <c r="B237" s="15">
        <f t="shared" si="20"/>
        <v>0</v>
      </c>
      <c r="C237" s="16">
        <f t="shared" si="21"/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</row>
    <row r="238" spans="1:51" hidden="1" outlineLevel="1">
      <c r="A238" s="5" t="s">
        <v>345</v>
      </c>
      <c r="B238" s="15">
        <f t="shared" si="20"/>
        <v>0</v>
      </c>
      <c r="C238" s="16">
        <f t="shared" si="21"/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</row>
    <row r="239" spans="1:51" hidden="1" outlineLevel="1">
      <c r="A239" s="5" t="s">
        <v>346</v>
      </c>
      <c r="B239" s="15">
        <f t="shared" si="20"/>
        <v>0</v>
      </c>
      <c r="C239" s="16">
        <f t="shared" si="21"/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</row>
    <row r="240" spans="1:51" hidden="1" outlineLevel="1">
      <c r="A240" s="5" t="s">
        <v>347</v>
      </c>
      <c r="B240" s="15">
        <f t="shared" si="20"/>
        <v>0</v>
      </c>
      <c r="C240" s="16">
        <f t="shared" si="21"/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</row>
    <row r="241" spans="1:51" hidden="1" outlineLevel="1">
      <c r="A241" s="5" t="s">
        <v>348</v>
      </c>
      <c r="B241" s="15">
        <f t="shared" si="20"/>
        <v>0</v>
      </c>
      <c r="C241" s="16">
        <f t="shared" si="21"/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</row>
    <row r="242" spans="1:51" hidden="1" outlineLevel="1">
      <c r="A242" s="5" t="s">
        <v>349</v>
      </c>
      <c r="B242" s="15">
        <f t="shared" si="20"/>
        <v>0</v>
      </c>
      <c r="C242" s="16">
        <f t="shared" si="21"/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</row>
    <row r="243" spans="1:51" hidden="1" outlineLevel="1">
      <c r="A243" s="5" t="s">
        <v>350</v>
      </c>
      <c r="B243" s="15">
        <f t="shared" si="20"/>
        <v>0</v>
      </c>
      <c r="C243" s="16">
        <f t="shared" si="21"/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</row>
    <row r="244" spans="1:51" hidden="1" outlineLevel="1">
      <c r="A244" s="5" t="s">
        <v>351</v>
      </c>
      <c r="B244" s="15">
        <f t="shared" si="20"/>
        <v>0</v>
      </c>
      <c r="C244" s="16">
        <f t="shared" si="21"/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</row>
    <row r="245" spans="1:51" hidden="1" outlineLevel="1">
      <c r="A245" s="5" t="s">
        <v>352</v>
      </c>
      <c r="B245" s="15">
        <f t="shared" si="20"/>
        <v>1</v>
      </c>
      <c r="C245" s="16">
        <f t="shared" si="21"/>
        <v>2.0833333333333332E-2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1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</row>
    <row r="246" spans="1:51" hidden="1" outlineLevel="1">
      <c r="A246" s="5" t="s">
        <v>353</v>
      </c>
      <c r="B246" s="15">
        <f t="shared" si="20"/>
        <v>0</v>
      </c>
      <c r="C246" s="16">
        <f t="shared" si="21"/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</row>
    <row r="247" spans="1:51" s="25" customFormat="1" ht="19.5" collapsed="1">
      <c r="A247" s="28" t="s">
        <v>354</v>
      </c>
      <c r="B247" s="26">
        <f t="shared" si="20"/>
        <v>0</v>
      </c>
      <c r="C247" s="27">
        <f t="shared" si="21"/>
        <v>0</v>
      </c>
      <c r="D247" s="25">
        <f>SUM(D248:D277)</f>
        <v>0</v>
      </c>
      <c r="E247" s="25">
        <f t="shared" ref="E247:AY247" si="23">SUM(E248:E277)</f>
        <v>0</v>
      </c>
      <c r="F247" s="25">
        <f t="shared" si="23"/>
        <v>0</v>
      </c>
      <c r="G247" s="25">
        <f t="shared" si="23"/>
        <v>0</v>
      </c>
      <c r="H247" s="25">
        <f t="shared" si="23"/>
        <v>0</v>
      </c>
      <c r="I247" s="25">
        <f t="shared" si="23"/>
        <v>0</v>
      </c>
      <c r="J247" s="25">
        <f t="shared" si="23"/>
        <v>0</v>
      </c>
      <c r="K247" s="25">
        <f t="shared" si="23"/>
        <v>0</v>
      </c>
      <c r="L247" s="25">
        <f t="shared" si="23"/>
        <v>0</v>
      </c>
      <c r="M247" s="25">
        <f t="shared" si="23"/>
        <v>0</v>
      </c>
      <c r="N247" s="25">
        <f t="shared" si="23"/>
        <v>0</v>
      </c>
      <c r="O247" s="25">
        <f t="shared" si="23"/>
        <v>0</v>
      </c>
      <c r="P247" s="25">
        <f t="shared" si="23"/>
        <v>0</v>
      </c>
      <c r="Q247" s="25">
        <f t="shared" si="23"/>
        <v>0</v>
      </c>
      <c r="R247" s="25">
        <f t="shared" si="23"/>
        <v>0</v>
      </c>
      <c r="S247" s="25">
        <f t="shared" si="23"/>
        <v>0</v>
      </c>
      <c r="T247" s="25">
        <f t="shared" si="23"/>
        <v>0</v>
      </c>
      <c r="U247" s="25">
        <f t="shared" si="23"/>
        <v>0</v>
      </c>
      <c r="V247" s="25">
        <f t="shared" si="23"/>
        <v>0</v>
      </c>
      <c r="W247" s="25">
        <f t="shared" si="23"/>
        <v>0</v>
      </c>
      <c r="X247" s="25">
        <f t="shared" si="23"/>
        <v>0</v>
      </c>
      <c r="Y247" s="25">
        <f t="shared" si="23"/>
        <v>0</v>
      </c>
      <c r="Z247" s="25">
        <f t="shared" si="23"/>
        <v>0</v>
      </c>
      <c r="AA247" s="25">
        <f t="shared" si="23"/>
        <v>0</v>
      </c>
      <c r="AB247" s="25">
        <f t="shared" si="23"/>
        <v>0</v>
      </c>
      <c r="AC247" s="25">
        <f t="shared" si="23"/>
        <v>0</v>
      </c>
      <c r="AD247" s="25">
        <f t="shared" si="23"/>
        <v>0</v>
      </c>
      <c r="AE247" s="25">
        <f t="shared" si="23"/>
        <v>0</v>
      </c>
      <c r="AF247" s="25">
        <f t="shared" si="23"/>
        <v>0</v>
      </c>
      <c r="AG247" s="25">
        <f t="shared" si="23"/>
        <v>0</v>
      </c>
      <c r="AH247" s="25">
        <f t="shared" si="23"/>
        <v>0</v>
      </c>
      <c r="AI247" s="25">
        <f t="shared" si="23"/>
        <v>0</v>
      </c>
      <c r="AJ247" s="25">
        <f t="shared" si="23"/>
        <v>0</v>
      </c>
      <c r="AK247" s="25">
        <f t="shared" si="23"/>
        <v>0</v>
      </c>
      <c r="AL247" s="25">
        <f t="shared" si="23"/>
        <v>0</v>
      </c>
      <c r="AM247" s="25">
        <f t="shared" si="23"/>
        <v>0</v>
      </c>
      <c r="AN247" s="25">
        <f t="shared" si="23"/>
        <v>0</v>
      </c>
      <c r="AO247" s="25">
        <f t="shared" si="23"/>
        <v>0</v>
      </c>
      <c r="AP247" s="25">
        <f t="shared" si="23"/>
        <v>0</v>
      </c>
      <c r="AQ247" s="25">
        <f t="shared" si="23"/>
        <v>0</v>
      </c>
      <c r="AR247" s="25">
        <f t="shared" si="23"/>
        <v>0</v>
      </c>
      <c r="AS247" s="25">
        <f t="shared" si="23"/>
        <v>0</v>
      </c>
      <c r="AT247" s="25">
        <f t="shared" si="23"/>
        <v>0</v>
      </c>
      <c r="AU247" s="25">
        <f t="shared" si="23"/>
        <v>0</v>
      </c>
      <c r="AV247" s="25">
        <f t="shared" si="23"/>
        <v>0</v>
      </c>
      <c r="AW247" s="25">
        <f t="shared" si="23"/>
        <v>0</v>
      </c>
      <c r="AX247" s="25">
        <f t="shared" si="23"/>
        <v>0</v>
      </c>
      <c r="AY247" s="25">
        <f t="shared" si="23"/>
        <v>0</v>
      </c>
    </row>
    <row r="248" spans="1:51" hidden="1" outlineLevel="1">
      <c r="A248" s="5" t="s">
        <v>355</v>
      </c>
      <c r="B248" s="15">
        <f t="shared" si="20"/>
        <v>0</v>
      </c>
      <c r="C248" s="16">
        <f t="shared" si="21"/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</row>
    <row r="249" spans="1:51" hidden="1" outlineLevel="1">
      <c r="A249" s="5" t="s">
        <v>356</v>
      </c>
      <c r="B249" s="15">
        <f t="shared" si="20"/>
        <v>0</v>
      </c>
      <c r="C249" s="16">
        <f t="shared" si="21"/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</row>
    <row r="250" spans="1:51" hidden="1" outlineLevel="1">
      <c r="A250" s="5" t="s">
        <v>357</v>
      </c>
      <c r="B250" s="15">
        <f t="shared" si="20"/>
        <v>0</v>
      </c>
      <c r="C250" s="16">
        <f t="shared" si="21"/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</row>
    <row r="251" spans="1:51" hidden="1" outlineLevel="1">
      <c r="A251" s="5" t="s">
        <v>358</v>
      </c>
      <c r="B251" s="15">
        <f t="shared" si="20"/>
        <v>0</v>
      </c>
      <c r="C251" s="16">
        <f t="shared" si="21"/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</row>
    <row r="252" spans="1:51" hidden="1" outlineLevel="1">
      <c r="A252" s="5" t="s">
        <v>359</v>
      </c>
      <c r="B252" s="15">
        <f t="shared" si="20"/>
        <v>0</v>
      </c>
      <c r="C252" s="16">
        <f t="shared" si="21"/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</row>
    <row r="253" spans="1:51" hidden="1" outlineLevel="1">
      <c r="A253" s="5" t="s">
        <v>360</v>
      </c>
      <c r="B253" s="15">
        <f t="shared" si="20"/>
        <v>0</v>
      </c>
      <c r="C253" s="16">
        <f t="shared" si="21"/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</row>
    <row r="254" spans="1:51" hidden="1" outlineLevel="1">
      <c r="A254" s="5" t="s">
        <v>314</v>
      </c>
      <c r="B254" s="15">
        <f t="shared" si="20"/>
        <v>0</v>
      </c>
      <c r="C254" s="16">
        <f t="shared" si="21"/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</row>
    <row r="255" spans="1:51" hidden="1" outlineLevel="1">
      <c r="A255" s="5" t="s">
        <v>362</v>
      </c>
      <c r="B255" s="15">
        <f t="shared" si="20"/>
        <v>0</v>
      </c>
      <c r="C255" s="16">
        <f t="shared" si="21"/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</row>
    <row r="256" spans="1:51" hidden="1" outlineLevel="1">
      <c r="A256" s="5" t="s">
        <v>361</v>
      </c>
      <c r="B256" s="15">
        <f t="shared" si="20"/>
        <v>0</v>
      </c>
      <c r="C256" s="16">
        <f t="shared" si="21"/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</row>
    <row r="257" spans="1:51" hidden="1" outlineLevel="1">
      <c r="A257" s="5" t="s">
        <v>363</v>
      </c>
      <c r="B257" s="15">
        <f t="shared" si="20"/>
        <v>0</v>
      </c>
      <c r="C257" s="16">
        <f t="shared" si="21"/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</row>
    <row r="258" spans="1:51" hidden="1" outlineLevel="1">
      <c r="A258" s="5" t="s">
        <v>364</v>
      </c>
      <c r="B258" s="15">
        <f t="shared" si="20"/>
        <v>0</v>
      </c>
      <c r="C258" s="16">
        <f t="shared" si="21"/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</row>
    <row r="259" spans="1:51" hidden="1" outlineLevel="1">
      <c r="A259" s="5" t="s">
        <v>365</v>
      </c>
      <c r="B259" s="15">
        <f t="shared" si="20"/>
        <v>0</v>
      </c>
      <c r="C259" s="16">
        <f t="shared" si="21"/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</row>
    <row r="260" spans="1:51" hidden="1" outlineLevel="1">
      <c r="A260" s="5" t="s">
        <v>366</v>
      </c>
      <c r="B260" s="15">
        <f t="shared" si="20"/>
        <v>0</v>
      </c>
      <c r="C260" s="16">
        <f t="shared" si="21"/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</row>
    <row r="261" spans="1:51" hidden="1" outlineLevel="1">
      <c r="A261" s="5" t="s">
        <v>366</v>
      </c>
      <c r="B261" s="15">
        <f t="shared" si="20"/>
        <v>0</v>
      </c>
      <c r="C261" s="16">
        <f t="shared" si="21"/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</row>
    <row r="262" spans="1:51" hidden="1" outlineLevel="1">
      <c r="A262" s="5" t="s">
        <v>367</v>
      </c>
      <c r="B262" s="15">
        <f t="shared" ref="B262:B277" si="24">SUM(D262:AY262)</f>
        <v>0</v>
      </c>
      <c r="C262" s="16">
        <f t="shared" si="21"/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</row>
    <row r="263" spans="1:51" hidden="1" outlineLevel="1">
      <c r="A263" s="5" t="s">
        <v>368</v>
      </c>
      <c r="B263" s="15">
        <f t="shared" si="24"/>
        <v>0</v>
      </c>
      <c r="C263" s="16">
        <f t="shared" ref="C263:C278" si="25">AVERAGE(D263:AY263)</f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</row>
    <row r="264" spans="1:51" hidden="1" outlineLevel="1">
      <c r="A264" s="5" t="s">
        <v>369</v>
      </c>
      <c r="B264" s="15">
        <f t="shared" si="24"/>
        <v>0</v>
      </c>
      <c r="C264" s="16">
        <f t="shared" si="25"/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</row>
    <row r="265" spans="1:51" hidden="1" outlineLevel="1">
      <c r="A265" s="5" t="s">
        <v>370</v>
      </c>
      <c r="B265" s="15">
        <f t="shared" si="24"/>
        <v>0</v>
      </c>
      <c r="C265" s="16">
        <f t="shared" si="25"/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</row>
    <row r="266" spans="1:51" hidden="1" outlineLevel="1">
      <c r="A266" s="5" t="s">
        <v>371</v>
      </c>
      <c r="B266" s="15">
        <f t="shared" si="24"/>
        <v>0</v>
      </c>
      <c r="C266" s="16">
        <f t="shared" si="25"/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</row>
    <row r="267" spans="1:51" hidden="1" outlineLevel="1">
      <c r="A267" s="5" t="s">
        <v>372</v>
      </c>
      <c r="B267" s="15">
        <f t="shared" si="24"/>
        <v>0</v>
      </c>
      <c r="C267" s="16">
        <f t="shared" si="25"/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</row>
    <row r="268" spans="1:51" hidden="1" outlineLevel="1">
      <c r="A268" s="5" t="s">
        <v>373</v>
      </c>
      <c r="B268" s="15">
        <f t="shared" si="24"/>
        <v>0</v>
      </c>
      <c r="C268" s="16">
        <f t="shared" si="25"/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</row>
    <row r="269" spans="1:51" hidden="1" outlineLevel="1">
      <c r="A269" s="5" t="s">
        <v>374</v>
      </c>
      <c r="B269" s="15">
        <f t="shared" si="24"/>
        <v>0</v>
      </c>
      <c r="C269" s="16">
        <f t="shared" si="25"/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</row>
    <row r="270" spans="1:51" hidden="1" outlineLevel="1">
      <c r="A270" s="5" t="s">
        <v>375</v>
      </c>
      <c r="B270" s="15">
        <f t="shared" si="24"/>
        <v>0</v>
      </c>
      <c r="C270" s="16">
        <f t="shared" si="25"/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</row>
    <row r="271" spans="1:51" hidden="1" outlineLevel="1">
      <c r="A271" s="5" t="s">
        <v>376</v>
      </c>
      <c r="B271" s="15">
        <f t="shared" si="24"/>
        <v>0</v>
      </c>
      <c r="C271" s="16">
        <f t="shared" si="25"/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</row>
    <row r="272" spans="1:51" hidden="1" outlineLevel="1">
      <c r="A272" s="5" t="s">
        <v>377</v>
      </c>
      <c r="B272" s="15">
        <f t="shared" si="24"/>
        <v>0</v>
      </c>
      <c r="C272" s="16">
        <f t="shared" si="25"/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</row>
    <row r="273" spans="1:51" hidden="1" outlineLevel="1">
      <c r="A273" s="5" t="s">
        <v>378</v>
      </c>
      <c r="B273" s="15">
        <f t="shared" si="24"/>
        <v>0</v>
      </c>
      <c r="C273" s="16">
        <f t="shared" si="25"/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</row>
    <row r="274" spans="1:51" hidden="1" outlineLevel="1">
      <c r="A274" s="5" t="s">
        <v>379</v>
      </c>
      <c r="B274" s="15">
        <f t="shared" si="24"/>
        <v>0</v>
      </c>
      <c r="C274" s="16">
        <f t="shared" si="25"/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</row>
    <row r="275" spans="1:51" hidden="1" outlineLevel="1">
      <c r="A275" s="5" t="s">
        <v>380</v>
      </c>
      <c r="B275" s="15">
        <f t="shared" si="24"/>
        <v>0</v>
      </c>
      <c r="C275" s="16">
        <f t="shared" si="25"/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</row>
    <row r="276" spans="1:51" hidden="1" outlineLevel="1">
      <c r="A276" s="5" t="s">
        <v>381</v>
      </c>
      <c r="B276" s="15">
        <f t="shared" si="24"/>
        <v>0</v>
      </c>
      <c r="C276" s="16">
        <f t="shared" si="25"/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</row>
    <row r="277" spans="1:51" hidden="1" outlineLevel="1">
      <c r="A277" s="5" t="s">
        <v>382</v>
      </c>
      <c r="B277" s="15">
        <f t="shared" si="24"/>
        <v>0</v>
      </c>
      <c r="C277" s="16">
        <f t="shared" si="25"/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</row>
    <row r="278" spans="1:51" s="34" customFormat="1" ht="20.25" collapsed="1">
      <c r="A278" s="31" t="s">
        <v>389</v>
      </c>
      <c r="B278" s="32"/>
      <c r="C278" s="33">
        <f t="shared" si="25"/>
        <v>7.1489361702127656</v>
      </c>
      <c r="E278" s="34">
        <v>6</v>
      </c>
      <c r="F278" s="34">
        <v>13</v>
      </c>
      <c r="G278" s="34">
        <v>7</v>
      </c>
      <c r="H278" s="34">
        <v>4</v>
      </c>
      <c r="I278" s="34">
        <v>14</v>
      </c>
      <c r="J278" s="34">
        <v>6</v>
      </c>
      <c r="K278" s="34">
        <v>6</v>
      </c>
      <c r="L278" s="34">
        <v>6</v>
      </c>
      <c r="M278" s="34">
        <v>6</v>
      </c>
      <c r="N278" s="34">
        <v>6</v>
      </c>
      <c r="O278" s="34">
        <v>5</v>
      </c>
      <c r="P278" s="34">
        <v>5</v>
      </c>
      <c r="Q278" s="34">
        <v>5</v>
      </c>
      <c r="R278" s="34">
        <v>4</v>
      </c>
      <c r="S278" s="34">
        <v>5</v>
      </c>
      <c r="T278" s="34">
        <v>8</v>
      </c>
      <c r="U278" s="34">
        <v>3</v>
      </c>
      <c r="V278" s="34">
        <v>5</v>
      </c>
      <c r="W278" s="34">
        <v>11</v>
      </c>
      <c r="X278" s="34">
        <v>5</v>
      </c>
      <c r="Y278" s="34">
        <v>11</v>
      </c>
      <c r="Z278" s="34">
        <v>8</v>
      </c>
      <c r="AA278" s="34">
        <v>4</v>
      </c>
      <c r="AB278" s="34">
        <v>16</v>
      </c>
      <c r="AC278" s="34">
        <v>4</v>
      </c>
      <c r="AD278" s="34">
        <v>17</v>
      </c>
      <c r="AE278" s="34">
        <v>5</v>
      </c>
      <c r="AF278" s="34">
        <v>7</v>
      </c>
      <c r="AG278" s="34">
        <v>8</v>
      </c>
      <c r="AH278" s="34">
        <v>8</v>
      </c>
      <c r="AI278" s="34">
        <v>5</v>
      </c>
      <c r="AJ278" s="34">
        <v>7</v>
      </c>
      <c r="AK278" s="34">
        <v>9</v>
      </c>
      <c r="AL278" s="34">
        <v>6</v>
      </c>
      <c r="AM278" s="34">
        <v>5</v>
      </c>
      <c r="AN278" s="34">
        <v>6</v>
      </c>
      <c r="AO278" s="34">
        <v>4</v>
      </c>
      <c r="AP278" s="34">
        <v>6</v>
      </c>
      <c r="AQ278" s="34">
        <v>11</v>
      </c>
      <c r="AR278" s="34">
        <v>7</v>
      </c>
      <c r="AS278" s="34">
        <v>9</v>
      </c>
      <c r="AT278" s="34">
        <v>6</v>
      </c>
      <c r="AU278" s="34">
        <v>10</v>
      </c>
      <c r="AV278" s="34">
        <v>9</v>
      </c>
      <c r="AW278" s="34">
        <v>6</v>
      </c>
      <c r="AX278" s="34">
        <v>6</v>
      </c>
      <c r="AY278" s="34">
        <v>6</v>
      </c>
    </row>
    <row r="279" spans="1:51" s="29" customFormat="1" ht="19.5">
      <c r="A279" s="28" t="s">
        <v>388</v>
      </c>
      <c r="B279" s="26">
        <f>SUM(B2,B13,B19,B31,B69,B104,B180,B195,B233,B247)</f>
        <v>2335</v>
      </c>
      <c r="C279" s="26">
        <f>SUM(C2,C13,C19,C31,C69,C104,C180,C195,C233,C247)</f>
        <v>48.645833333333329</v>
      </c>
      <c r="D279" s="26">
        <f t="shared" ref="D279:AY279" si="26">SUM(D2,D13,D19,D31,D69,D104,D180,D195,D233,D247)</f>
        <v>53</v>
      </c>
      <c r="E279" s="26">
        <f t="shared" si="26"/>
        <v>82</v>
      </c>
      <c r="F279" s="26">
        <f t="shared" si="26"/>
        <v>55</v>
      </c>
      <c r="G279" s="26">
        <f t="shared" si="26"/>
        <v>139</v>
      </c>
      <c r="H279" s="26">
        <f t="shared" si="26"/>
        <v>16</v>
      </c>
      <c r="I279" s="26">
        <f t="shared" si="26"/>
        <v>36</v>
      </c>
      <c r="J279" s="26">
        <f t="shared" si="26"/>
        <v>36</v>
      </c>
      <c r="K279" s="26">
        <f t="shared" si="26"/>
        <v>7</v>
      </c>
      <c r="L279" s="26">
        <f t="shared" si="26"/>
        <v>32</v>
      </c>
      <c r="M279" s="26">
        <f t="shared" si="26"/>
        <v>34</v>
      </c>
      <c r="N279" s="26">
        <f t="shared" si="26"/>
        <v>104</v>
      </c>
      <c r="O279" s="26">
        <f t="shared" si="26"/>
        <v>8</v>
      </c>
      <c r="P279" s="26">
        <f t="shared" si="26"/>
        <v>11</v>
      </c>
      <c r="Q279" s="26">
        <f t="shared" si="26"/>
        <v>8</v>
      </c>
      <c r="R279" s="26">
        <f t="shared" si="26"/>
        <v>96</v>
      </c>
      <c r="S279" s="26">
        <f t="shared" si="26"/>
        <v>67</v>
      </c>
      <c r="T279" s="26">
        <f t="shared" si="26"/>
        <v>22</v>
      </c>
      <c r="U279" s="26">
        <f t="shared" si="26"/>
        <v>18</v>
      </c>
      <c r="V279" s="26">
        <f t="shared" si="26"/>
        <v>130</v>
      </c>
      <c r="W279" s="26">
        <f t="shared" si="26"/>
        <v>10</v>
      </c>
      <c r="X279" s="26">
        <f t="shared" si="26"/>
        <v>102</v>
      </c>
      <c r="Y279" s="26">
        <f t="shared" si="26"/>
        <v>33</v>
      </c>
      <c r="Z279" s="26">
        <f t="shared" si="26"/>
        <v>96</v>
      </c>
      <c r="AA279" s="26">
        <f t="shared" si="26"/>
        <v>1</v>
      </c>
      <c r="AB279" s="26">
        <f t="shared" si="26"/>
        <v>12</v>
      </c>
      <c r="AC279" s="26">
        <f t="shared" si="26"/>
        <v>2</v>
      </c>
      <c r="AD279" s="26">
        <f t="shared" si="26"/>
        <v>110</v>
      </c>
      <c r="AE279" s="26">
        <f t="shared" si="26"/>
        <v>32</v>
      </c>
      <c r="AF279" s="26">
        <f t="shared" si="26"/>
        <v>75</v>
      </c>
      <c r="AG279" s="26">
        <f t="shared" si="26"/>
        <v>12</v>
      </c>
      <c r="AH279" s="26">
        <f t="shared" si="26"/>
        <v>199</v>
      </c>
      <c r="AI279" s="26">
        <f t="shared" si="26"/>
        <v>107</v>
      </c>
      <c r="AJ279" s="26">
        <f t="shared" si="26"/>
        <v>11</v>
      </c>
      <c r="AK279" s="26">
        <f t="shared" si="26"/>
        <v>13</v>
      </c>
      <c r="AL279" s="26">
        <f t="shared" si="26"/>
        <v>13</v>
      </c>
      <c r="AM279" s="26">
        <f t="shared" si="26"/>
        <v>31</v>
      </c>
      <c r="AN279" s="26">
        <f t="shared" si="26"/>
        <v>20</v>
      </c>
      <c r="AO279" s="26">
        <f t="shared" si="26"/>
        <v>5</v>
      </c>
      <c r="AP279" s="26">
        <f t="shared" si="26"/>
        <v>38</v>
      </c>
      <c r="AQ279" s="26">
        <f t="shared" si="26"/>
        <v>108</v>
      </c>
      <c r="AR279" s="26">
        <f t="shared" si="26"/>
        <v>34</v>
      </c>
      <c r="AS279" s="26">
        <f t="shared" si="26"/>
        <v>2</v>
      </c>
      <c r="AT279" s="26">
        <f t="shared" si="26"/>
        <v>58</v>
      </c>
      <c r="AU279" s="26">
        <f t="shared" si="26"/>
        <v>35</v>
      </c>
      <c r="AV279" s="26">
        <f t="shared" si="26"/>
        <v>39</v>
      </c>
      <c r="AW279" s="26">
        <f t="shared" si="26"/>
        <v>52</v>
      </c>
      <c r="AX279" s="26">
        <f t="shared" si="26"/>
        <v>105</v>
      </c>
      <c r="AY279" s="26">
        <f t="shared" si="26"/>
        <v>26</v>
      </c>
    </row>
    <row r="280" spans="1:51" s="29" customFormat="1" ht="19.5">
      <c r="A280" s="28"/>
      <c r="B280" s="26"/>
      <c r="C280" s="26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</row>
  </sheetData>
  <dataConsolidate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Y280"/>
  <sheetViews>
    <sheetView topLeftCell="A69" zoomScale="90" zoomScaleNormal="90" workbookViewId="0">
      <selection activeCell="A44" sqref="A44"/>
    </sheetView>
  </sheetViews>
  <sheetFormatPr defaultRowHeight="16.5" outlineLevelRow="1"/>
  <cols>
    <col min="1" max="1" width="17.5" customWidth="1"/>
    <col min="2" max="2" width="6" style="15" customWidth="1"/>
    <col min="3" max="3" width="5.5" style="16" customWidth="1"/>
  </cols>
  <sheetData>
    <row r="1" spans="1:51" s="24" customFormat="1" ht="30" thickTop="1" thickBot="1">
      <c r="A1" s="17" t="s">
        <v>114</v>
      </c>
      <c r="B1" s="18" t="s">
        <v>172</v>
      </c>
      <c r="C1" s="19" t="s">
        <v>105</v>
      </c>
      <c r="D1" s="23" t="s">
        <v>14</v>
      </c>
      <c r="E1" s="23" t="s">
        <v>109</v>
      </c>
      <c r="F1" s="23" t="s">
        <v>18</v>
      </c>
      <c r="G1" s="21" t="s">
        <v>26</v>
      </c>
      <c r="H1" s="21" t="s">
        <v>28</v>
      </c>
      <c r="I1" s="21" t="s">
        <v>20</v>
      </c>
      <c r="J1" s="21" t="s">
        <v>35</v>
      </c>
      <c r="K1" s="23" t="s">
        <v>11</v>
      </c>
      <c r="L1" s="21" t="s">
        <v>110</v>
      </c>
      <c r="M1" s="23" t="s">
        <v>2</v>
      </c>
      <c r="N1" s="21" t="s">
        <v>37</v>
      </c>
      <c r="O1" s="21" t="s">
        <v>42</v>
      </c>
      <c r="P1" s="21" t="s">
        <v>3</v>
      </c>
      <c r="Q1" s="23" t="s">
        <v>1</v>
      </c>
      <c r="R1" s="21" t="s">
        <v>10</v>
      </c>
      <c r="S1" s="22" t="s">
        <v>5</v>
      </c>
      <c r="T1" s="20" t="s">
        <v>36</v>
      </c>
      <c r="U1" s="21" t="s">
        <v>29</v>
      </c>
      <c r="V1" s="23" t="s">
        <v>22</v>
      </c>
      <c r="W1" s="21" t="s">
        <v>21</v>
      </c>
      <c r="X1" s="23" t="s">
        <v>23</v>
      </c>
      <c r="Y1" s="21" t="s">
        <v>30</v>
      </c>
      <c r="Z1" s="21" t="s">
        <v>16</v>
      </c>
      <c r="AA1" s="21" t="s">
        <v>34</v>
      </c>
      <c r="AB1" s="21" t="s">
        <v>6</v>
      </c>
      <c r="AC1" s="21" t="s">
        <v>38</v>
      </c>
      <c r="AD1" s="21" t="s">
        <v>0</v>
      </c>
      <c r="AE1" s="21" t="s">
        <v>32</v>
      </c>
      <c r="AF1" s="23" t="s">
        <v>4</v>
      </c>
      <c r="AG1" s="23" t="s">
        <v>41</v>
      </c>
      <c r="AH1" s="23" t="s">
        <v>7</v>
      </c>
      <c r="AI1" s="23" t="s">
        <v>9</v>
      </c>
      <c r="AJ1" s="21" t="s">
        <v>12</v>
      </c>
      <c r="AK1" s="21" t="s">
        <v>386</v>
      </c>
      <c r="AL1" s="21" t="s">
        <v>33</v>
      </c>
      <c r="AM1" s="23" t="s">
        <v>39</v>
      </c>
      <c r="AN1" s="23" t="s">
        <v>13</v>
      </c>
      <c r="AO1" s="21" t="s">
        <v>8</v>
      </c>
      <c r="AP1" s="21" t="s">
        <v>27</v>
      </c>
      <c r="AQ1" s="21" t="s">
        <v>24</v>
      </c>
      <c r="AR1" s="21" t="s">
        <v>25</v>
      </c>
      <c r="AS1" s="21" t="s">
        <v>112</v>
      </c>
      <c r="AT1" s="21" t="s">
        <v>31</v>
      </c>
      <c r="AU1" s="21" t="s">
        <v>111</v>
      </c>
      <c r="AV1" s="23" t="s">
        <v>15</v>
      </c>
      <c r="AW1" s="21" t="s">
        <v>40</v>
      </c>
      <c r="AX1" s="21" t="s">
        <v>19</v>
      </c>
      <c r="AY1" s="23" t="s">
        <v>113</v>
      </c>
    </row>
    <row r="2" spans="1:51" s="25" customFormat="1" ht="20.25" thickTop="1">
      <c r="A2" s="25" t="s">
        <v>118</v>
      </c>
      <c r="B2" s="26">
        <f t="shared" ref="B2:B65" si="0">SUM(D2:AY2)</f>
        <v>465</v>
      </c>
      <c r="C2" s="27">
        <f t="shared" ref="C2:C65" si="1">AVERAGE(D2:AY2)</f>
        <v>9.6875</v>
      </c>
      <c r="D2" s="25">
        <f>SUM(D3:D12)</f>
        <v>110</v>
      </c>
      <c r="E2" s="25">
        <f>SUM(E3:E12)</f>
        <v>50</v>
      </c>
      <c r="F2" s="25">
        <f>SUM(F3:F12)</f>
        <v>76</v>
      </c>
      <c r="G2" s="25">
        <f>SUM(G3:G12)</f>
        <v>0</v>
      </c>
      <c r="H2" s="25">
        <f>SUM(H3:H12)</f>
        <v>36</v>
      </c>
      <c r="I2" s="35">
        <f>SUM(I3:I12)</f>
        <v>62</v>
      </c>
      <c r="J2" s="25">
        <f>SUM(J3:J12)</f>
        <v>25</v>
      </c>
      <c r="K2" s="25">
        <f>SUM(K3:K12)</f>
        <v>42</v>
      </c>
      <c r="L2" s="25">
        <f>SUM(L3:L12)</f>
        <v>12</v>
      </c>
      <c r="M2" s="25">
        <f>SUM(M3:M12)</f>
        <v>0</v>
      </c>
      <c r="N2" s="25">
        <f>SUM(N3:N12)</f>
        <v>0</v>
      </c>
      <c r="O2" s="25">
        <f>SUM(O3:O12)</f>
        <v>36</v>
      </c>
      <c r="P2" s="25">
        <f>SUM(P3:P12)</f>
        <v>0</v>
      </c>
      <c r="Q2" s="25">
        <f>SUM(Q3:Q12)</f>
        <v>0</v>
      </c>
      <c r="R2" s="25">
        <f>SUM(R3:R12)</f>
        <v>0</v>
      </c>
      <c r="S2" s="25">
        <f>SUM(S3:S12)</f>
        <v>0</v>
      </c>
      <c r="T2" s="25">
        <f>SUM(T3:T12)</f>
        <v>0</v>
      </c>
      <c r="U2" s="25">
        <f>SUM(U3:U12)</f>
        <v>0</v>
      </c>
      <c r="V2" s="25">
        <f>SUM(V3:V12)</f>
        <v>0</v>
      </c>
      <c r="W2" s="25">
        <f>SUM(W3:W12)</f>
        <v>5</v>
      </c>
      <c r="X2" s="25">
        <f>SUM(X3:X12)</f>
        <v>0</v>
      </c>
      <c r="Y2" s="25">
        <f>SUM(Y3:Y12)</f>
        <v>0</v>
      </c>
      <c r="Z2" s="25">
        <f>SUM(Z3:Z12)</f>
        <v>0</v>
      </c>
      <c r="AA2" s="25">
        <f>SUM(AA3:AA12)</f>
        <v>0</v>
      </c>
      <c r="AB2" s="25">
        <f>SUM(AB3:AB12)</f>
        <v>0</v>
      </c>
      <c r="AC2" s="25">
        <f>SUM(AC3:AC12)</f>
        <v>11</v>
      </c>
      <c r="AD2" s="25">
        <f>SUM(AD3:AD12)</f>
        <v>0</v>
      </c>
      <c r="AE2" s="25">
        <f>SUM(AE3:AE12)</f>
        <v>0</v>
      </c>
      <c r="AF2" s="25">
        <f>SUM(AF3:AF12)</f>
        <v>0</v>
      </c>
      <c r="AG2" s="25">
        <f>SUM(AG3:AG12)</f>
        <v>0</v>
      </c>
      <c r="AH2" s="25">
        <f>SUM(AH3:AH12)</f>
        <v>0</v>
      </c>
      <c r="AI2" s="25">
        <f>SUM(AI3:AI12)</f>
        <v>0</v>
      </c>
      <c r="AJ2" s="25">
        <f>SUM(AJ3:AJ12)</f>
        <v>0</v>
      </c>
      <c r="AK2" s="25">
        <f>SUM(AK3:AK12)</f>
        <v>0</v>
      </c>
      <c r="AL2" s="25">
        <f>SUM(AL3:AL12)</f>
        <v>0</v>
      </c>
      <c r="AM2" s="25">
        <f>SUM(AM3:AM12)</f>
        <v>0</v>
      </c>
      <c r="AN2" s="25">
        <f>SUM(AN3:AN12)</f>
        <v>0</v>
      </c>
      <c r="AO2" s="25">
        <f>SUM(AO3:AO12)</f>
        <v>0</v>
      </c>
      <c r="AP2" s="25">
        <f>SUM(AP3:AP12)</f>
        <v>0</v>
      </c>
      <c r="AQ2" s="25">
        <f>SUM(AQ3:AQ12)</f>
        <v>0</v>
      </c>
      <c r="AR2" s="25">
        <f>SUM(AR3:AR12)</f>
        <v>0</v>
      </c>
      <c r="AS2" s="25">
        <f>SUM(AS3:AS12)</f>
        <v>0</v>
      </c>
      <c r="AT2" s="25">
        <f>SUM(AT3:AT12)</f>
        <v>0</v>
      </c>
      <c r="AU2" s="25">
        <f>SUM(AU3:AU12)</f>
        <v>0</v>
      </c>
      <c r="AV2" s="25">
        <f>SUM(AV3:AV12)</f>
        <v>0</v>
      </c>
      <c r="AW2" s="25">
        <f>SUM(AW3:AW12)</f>
        <v>0</v>
      </c>
      <c r="AX2" s="25">
        <f>SUM(AX3:AX12)</f>
        <v>0</v>
      </c>
      <c r="AY2" s="25">
        <f>SUM(AY3:AY12)</f>
        <v>0</v>
      </c>
    </row>
    <row r="3" spans="1:51" hidden="1" outlineLevel="1">
      <c r="A3" s="2" t="s">
        <v>137</v>
      </c>
      <c r="B3" s="15">
        <f t="shared" si="0"/>
        <v>180</v>
      </c>
      <c r="C3" s="16">
        <f t="shared" si="1"/>
        <v>3.75</v>
      </c>
      <c r="D3">
        <v>53</v>
      </c>
      <c r="E3">
        <v>0</v>
      </c>
      <c r="F3">
        <v>38</v>
      </c>
      <c r="G3">
        <v>0</v>
      </c>
      <c r="H3">
        <v>18</v>
      </c>
      <c r="I3" s="37">
        <v>31</v>
      </c>
      <c r="J3">
        <v>0</v>
      </c>
      <c r="K3">
        <v>21</v>
      </c>
      <c r="L3">
        <v>0</v>
      </c>
      <c r="M3">
        <v>0</v>
      </c>
      <c r="N3">
        <v>0</v>
      </c>
      <c r="O3">
        <v>19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hidden="1" outlineLevel="1">
      <c r="A4" s="2" t="s">
        <v>90</v>
      </c>
      <c r="B4" s="15">
        <f t="shared" si="0"/>
        <v>178</v>
      </c>
      <c r="C4" s="16">
        <f t="shared" si="1"/>
        <v>3.7083333333333335</v>
      </c>
      <c r="D4">
        <v>53</v>
      </c>
      <c r="E4">
        <v>0</v>
      </c>
      <c r="F4">
        <v>38</v>
      </c>
      <c r="G4">
        <v>0</v>
      </c>
      <c r="H4">
        <v>18</v>
      </c>
      <c r="I4" s="37">
        <v>31</v>
      </c>
      <c r="J4">
        <v>0</v>
      </c>
      <c r="K4">
        <v>21</v>
      </c>
      <c r="L4">
        <v>0</v>
      </c>
      <c r="M4">
        <v>0</v>
      </c>
      <c r="N4">
        <v>0</v>
      </c>
      <c r="O4">
        <v>17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hidden="1" outlineLevel="1">
      <c r="A5" s="2" t="s">
        <v>58</v>
      </c>
      <c r="B5" s="15">
        <f t="shared" si="0"/>
        <v>58</v>
      </c>
      <c r="C5" s="16">
        <f t="shared" si="1"/>
        <v>1.2083333333333333</v>
      </c>
      <c r="D5">
        <v>0</v>
      </c>
      <c r="E5">
        <v>25</v>
      </c>
      <c r="F5">
        <v>0</v>
      </c>
      <c r="G5">
        <v>0</v>
      </c>
      <c r="H5">
        <v>0</v>
      </c>
      <c r="I5" s="37">
        <v>0</v>
      </c>
      <c r="J5">
        <v>11</v>
      </c>
      <c r="K5">
        <v>0</v>
      </c>
      <c r="L5">
        <v>6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5</v>
      </c>
      <c r="X5">
        <v>0</v>
      </c>
      <c r="Y5">
        <v>0</v>
      </c>
      <c r="Z5">
        <v>0</v>
      </c>
      <c r="AA5">
        <v>0</v>
      </c>
      <c r="AB5">
        <v>0</v>
      </c>
      <c r="AC5">
        <v>11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hidden="1" outlineLevel="1">
      <c r="A6" s="2" t="s">
        <v>138</v>
      </c>
      <c r="B6" s="15">
        <f t="shared" si="0"/>
        <v>45</v>
      </c>
      <c r="C6" s="16">
        <f t="shared" si="1"/>
        <v>0.9375</v>
      </c>
      <c r="D6">
        <v>0</v>
      </c>
      <c r="E6">
        <v>25</v>
      </c>
      <c r="F6">
        <v>0</v>
      </c>
      <c r="G6">
        <v>0</v>
      </c>
      <c r="H6">
        <v>0</v>
      </c>
      <c r="I6" s="37">
        <v>0</v>
      </c>
      <c r="J6">
        <v>14</v>
      </c>
      <c r="K6">
        <v>0</v>
      </c>
      <c r="L6">
        <v>6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hidden="1" outlineLevel="1">
      <c r="A7" s="2" t="s">
        <v>136</v>
      </c>
      <c r="B7" s="15">
        <f t="shared" si="0"/>
        <v>2</v>
      </c>
      <c r="C7" s="16">
        <f t="shared" si="1"/>
        <v>4.1666666666666664E-2</v>
      </c>
      <c r="D7">
        <v>2</v>
      </c>
      <c r="E7">
        <v>0</v>
      </c>
      <c r="F7">
        <v>0</v>
      </c>
      <c r="G7">
        <v>0</v>
      </c>
      <c r="H7">
        <v>0</v>
      </c>
      <c r="I7" s="3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hidden="1" outlineLevel="1">
      <c r="A8" s="5" t="s">
        <v>124</v>
      </c>
      <c r="B8" s="15">
        <f t="shared" si="0"/>
        <v>1</v>
      </c>
      <c r="C8" s="16">
        <f t="shared" si="1"/>
        <v>2.0833333333333332E-2</v>
      </c>
      <c r="D8">
        <v>1</v>
      </c>
      <c r="E8">
        <v>0</v>
      </c>
      <c r="F8">
        <v>0</v>
      </c>
      <c r="G8">
        <v>0</v>
      </c>
      <c r="H8">
        <v>0</v>
      </c>
      <c r="I8" s="37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hidden="1" outlineLevel="1">
      <c r="A9" s="2" t="s">
        <v>59</v>
      </c>
      <c r="B9" s="15">
        <f t="shared" si="0"/>
        <v>1</v>
      </c>
      <c r="C9" s="16">
        <f t="shared" si="1"/>
        <v>2.0833333333333332E-2</v>
      </c>
      <c r="D9">
        <v>1</v>
      </c>
      <c r="E9">
        <v>0</v>
      </c>
      <c r="F9">
        <v>0</v>
      </c>
      <c r="G9">
        <v>0</v>
      </c>
      <c r="H9">
        <v>0</v>
      </c>
      <c r="I9" s="37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hidden="1" outlineLevel="1">
      <c r="A10" s="5" t="s">
        <v>115</v>
      </c>
      <c r="B10" s="15">
        <f t="shared" si="0"/>
        <v>0</v>
      </c>
      <c r="C10" s="16">
        <f t="shared" si="1"/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37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hidden="1" outlineLevel="1">
      <c r="A11" s="5" t="s">
        <v>117</v>
      </c>
      <c r="B11" s="15">
        <f t="shared" si="0"/>
        <v>0</v>
      </c>
      <c r="C11" s="16">
        <f t="shared" si="1"/>
        <v>0</v>
      </c>
      <c r="D11">
        <v>0</v>
      </c>
      <c r="E11">
        <v>0</v>
      </c>
      <c r="F11">
        <v>0</v>
      </c>
      <c r="G11">
        <v>0</v>
      </c>
      <c r="H11">
        <v>0</v>
      </c>
      <c r="I11" s="37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hidden="1" outlineLevel="1">
      <c r="A12" s="5" t="s">
        <v>116</v>
      </c>
      <c r="B12" s="15">
        <f t="shared" si="0"/>
        <v>0</v>
      </c>
      <c r="C12" s="16">
        <f t="shared" si="1"/>
        <v>0</v>
      </c>
      <c r="D12">
        <v>0</v>
      </c>
      <c r="E12">
        <v>0</v>
      </c>
      <c r="F12">
        <v>0</v>
      </c>
      <c r="G12">
        <v>0</v>
      </c>
      <c r="H12">
        <v>0</v>
      </c>
      <c r="I12" s="37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s="25" customFormat="1" ht="19.5" collapsed="1">
      <c r="A13" s="28" t="s">
        <v>119</v>
      </c>
      <c r="B13" s="26">
        <f t="shared" si="0"/>
        <v>343</v>
      </c>
      <c r="C13" s="27">
        <f t="shared" si="1"/>
        <v>7.145833333333333</v>
      </c>
      <c r="D13" s="25">
        <f>SUM(D14:D18)</f>
        <v>38</v>
      </c>
      <c r="E13" s="25">
        <f>SUM(E14:E18)</f>
        <v>10</v>
      </c>
      <c r="F13" s="25">
        <f>SUM(F14:F18)</f>
        <v>11</v>
      </c>
      <c r="G13" s="25">
        <f>SUM(G14:G18)</f>
        <v>18</v>
      </c>
      <c r="H13" s="25">
        <f>SUM(H14:H18)</f>
        <v>14</v>
      </c>
      <c r="I13" s="35">
        <f>SUM(I14:I18)</f>
        <v>14</v>
      </c>
      <c r="J13" s="25">
        <f>SUM(J14:J18)</f>
        <v>16</v>
      </c>
      <c r="K13" s="25">
        <f>SUM(K14:K18)</f>
        <v>12</v>
      </c>
      <c r="L13" s="25">
        <f>SUM(L14:L18)</f>
        <v>12</v>
      </c>
      <c r="M13" s="25">
        <f>SUM(M14:M18)</f>
        <v>14</v>
      </c>
      <c r="N13" s="25">
        <f>SUM(N14:N18)</f>
        <v>12</v>
      </c>
      <c r="O13" s="25">
        <f>SUM(O14:O18)</f>
        <v>15</v>
      </c>
      <c r="P13" s="25">
        <f>SUM(P14:P18)</f>
        <v>13</v>
      </c>
      <c r="Q13" s="25">
        <f>SUM(Q14:Q18)</f>
        <v>13</v>
      </c>
      <c r="R13" s="25">
        <f>SUM(R14:R18)</f>
        <v>9</v>
      </c>
      <c r="S13" s="25">
        <f>SUM(S14:S18)</f>
        <v>0</v>
      </c>
      <c r="T13" s="25">
        <f>SUM(T14:T18)</f>
        <v>14</v>
      </c>
      <c r="U13" s="25">
        <f>SUM(U14:U18)</f>
        <v>12</v>
      </c>
      <c r="V13" s="25">
        <f>SUM(V14:V18)</f>
        <v>16</v>
      </c>
      <c r="W13" s="25">
        <f>SUM(W14:W18)</f>
        <v>0</v>
      </c>
      <c r="X13" s="25">
        <f>SUM(X14:X18)</f>
        <v>13</v>
      </c>
      <c r="Y13" s="25">
        <f>SUM(Y14:Y18)</f>
        <v>9</v>
      </c>
      <c r="Z13" s="25">
        <f>SUM(Z14:Z18)</f>
        <v>2</v>
      </c>
      <c r="AA13" s="25">
        <f>SUM(AA14:AA18)</f>
        <v>9</v>
      </c>
      <c r="AB13" s="25">
        <f>SUM(AB14:AB18)</f>
        <v>0</v>
      </c>
      <c r="AC13" s="25">
        <f>SUM(AC14:AC18)</f>
        <v>0</v>
      </c>
      <c r="AD13" s="25">
        <f>SUM(AD14:AD18)</f>
        <v>0</v>
      </c>
      <c r="AE13" s="25">
        <f>SUM(AE14:AE18)</f>
        <v>0</v>
      </c>
      <c r="AF13" s="25">
        <f>SUM(AF14:AF18)</f>
        <v>14</v>
      </c>
      <c r="AG13" s="25">
        <f>SUM(AG14:AG18)</f>
        <v>3</v>
      </c>
      <c r="AH13" s="25">
        <f>SUM(AH14:AH18)</f>
        <v>12</v>
      </c>
      <c r="AI13" s="25">
        <f>SUM(AI14:AI18)</f>
        <v>0</v>
      </c>
      <c r="AJ13" s="25">
        <f>SUM(AJ14:AJ18)</f>
        <v>7</v>
      </c>
      <c r="AK13" s="25">
        <f>SUM(AK14:AK18)</f>
        <v>4</v>
      </c>
      <c r="AL13" s="25">
        <f>SUM(AL14:AL18)</f>
        <v>0</v>
      </c>
      <c r="AM13" s="25">
        <f>SUM(AM14:AM18)</f>
        <v>0</v>
      </c>
      <c r="AN13" s="25">
        <f>SUM(AN14:AN18)</f>
        <v>7</v>
      </c>
      <c r="AO13" s="25">
        <f>SUM(AO14:AO18)</f>
        <v>0</v>
      </c>
      <c r="AP13" s="25">
        <f>SUM(AP14:AP18)</f>
        <v>0</v>
      </c>
      <c r="AQ13" s="25">
        <f>SUM(AQ14:AQ18)</f>
        <v>0</v>
      </c>
      <c r="AR13" s="25">
        <f>SUM(AR14:AR18)</f>
        <v>0</v>
      </c>
      <c r="AS13" s="25">
        <f>SUM(AS14:AS18)</f>
        <v>0</v>
      </c>
      <c r="AT13" s="25">
        <f>SUM(AT14:AT18)</f>
        <v>0</v>
      </c>
      <c r="AU13" s="25">
        <f>SUM(AU14:AU18)</f>
        <v>0</v>
      </c>
      <c r="AV13" s="25">
        <f>SUM(AV14:AV18)</f>
        <v>0</v>
      </c>
      <c r="AW13" s="25">
        <f>SUM(AW14:AW18)</f>
        <v>0</v>
      </c>
      <c r="AX13" s="25">
        <f>SUM(AX14:AX18)</f>
        <v>0</v>
      </c>
      <c r="AY13" s="25">
        <f>SUM(AY14:AY18)</f>
        <v>0</v>
      </c>
    </row>
    <row r="14" spans="1:51" hidden="1" outlineLevel="1">
      <c r="A14" s="2" t="s">
        <v>139</v>
      </c>
      <c r="B14" s="15">
        <f t="shared" si="0"/>
        <v>341</v>
      </c>
      <c r="C14" s="16">
        <f t="shared" si="1"/>
        <v>7.104166666666667</v>
      </c>
      <c r="D14">
        <v>38</v>
      </c>
      <c r="E14">
        <v>10</v>
      </c>
      <c r="F14">
        <v>11</v>
      </c>
      <c r="G14">
        <v>18</v>
      </c>
      <c r="H14">
        <v>14</v>
      </c>
      <c r="I14" s="37">
        <v>14</v>
      </c>
      <c r="J14">
        <v>15</v>
      </c>
      <c r="K14">
        <v>12</v>
      </c>
      <c r="L14">
        <v>12</v>
      </c>
      <c r="M14">
        <v>14</v>
      </c>
      <c r="N14">
        <v>12</v>
      </c>
      <c r="O14">
        <v>15</v>
      </c>
      <c r="P14">
        <v>13</v>
      </c>
      <c r="Q14">
        <v>13</v>
      </c>
      <c r="R14">
        <v>9</v>
      </c>
      <c r="S14">
        <v>0</v>
      </c>
      <c r="T14">
        <v>14</v>
      </c>
      <c r="U14">
        <v>11</v>
      </c>
      <c r="V14">
        <v>16</v>
      </c>
      <c r="W14">
        <v>0</v>
      </c>
      <c r="X14">
        <v>13</v>
      </c>
      <c r="Y14">
        <v>9</v>
      </c>
      <c r="Z14">
        <v>2</v>
      </c>
      <c r="AA14">
        <v>9</v>
      </c>
      <c r="AB14">
        <v>0</v>
      </c>
      <c r="AC14">
        <v>0</v>
      </c>
      <c r="AD14">
        <v>0</v>
      </c>
      <c r="AE14">
        <v>0</v>
      </c>
      <c r="AF14">
        <v>14</v>
      </c>
      <c r="AG14">
        <v>3</v>
      </c>
      <c r="AH14">
        <v>12</v>
      </c>
      <c r="AI14">
        <v>0</v>
      </c>
      <c r="AJ14">
        <v>7</v>
      </c>
      <c r="AK14">
        <v>4</v>
      </c>
      <c r="AL14">
        <v>0</v>
      </c>
      <c r="AM14">
        <v>0</v>
      </c>
      <c r="AN14">
        <v>7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hidden="1" outlineLevel="1">
      <c r="A15" s="2" t="s">
        <v>84</v>
      </c>
      <c r="B15" s="15">
        <f t="shared" si="0"/>
        <v>2</v>
      </c>
      <c r="C15" s="16">
        <f t="shared" si="1"/>
        <v>4.1666666666666664E-2</v>
      </c>
      <c r="D15">
        <v>0</v>
      </c>
      <c r="E15">
        <v>0</v>
      </c>
      <c r="F15">
        <v>0</v>
      </c>
      <c r="G15">
        <v>0</v>
      </c>
      <c r="H15">
        <v>0</v>
      </c>
      <c r="I15" s="37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hidden="1" outlineLevel="1">
      <c r="A16" s="5" t="s">
        <v>120</v>
      </c>
      <c r="B16" s="15">
        <f t="shared" si="0"/>
        <v>0</v>
      </c>
      <c r="C16" s="16">
        <f t="shared" si="1"/>
        <v>0</v>
      </c>
      <c r="D16">
        <v>0</v>
      </c>
      <c r="E16">
        <v>0</v>
      </c>
      <c r="F16">
        <v>0</v>
      </c>
      <c r="G16">
        <v>0</v>
      </c>
      <c r="H16">
        <v>0</v>
      </c>
      <c r="I16" s="37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hidden="1" outlineLevel="1">
      <c r="A17" s="13" t="s">
        <v>121</v>
      </c>
      <c r="B17" s="15">
        <f t="shared" si="0"/>
        <v>0</v>
      </c>
      <c r="C17" s="16">
        <f t="shared" si="1"/>
        <v>0</v>
      </c>
      <c r="D17">
        <v>0</v>
      </c>
      <c r="E17">
        <v>0</v>
      </c>
      <c r="F17">
        <v>0</v>
      </c>
      <c r="G17">
        <v>0</v>
      </c>
      <c r="H17">
        <v>0</v>
      </c>
      <c r="I17" s="3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hidden="1" outlineLevel="1">
      <c r="A18" s="5" t="s">
        <v>122</v>
      </c>
      <c r="B18" s="15">
        <f t="shared" si="0"/>
        <v>0</v>
      </c>
      <c r="C18" s="16">
        <f t="shared" si="1"/>
        <v>0</v>
      </c>
      <c r="D18">
        <v>0</v>
      </c>
      <c r="E18">
        <v>0</v>
      </c>
      <c r="F18">
        <v>0</v>
      </c>
      <c r="G18">
        <v>0</v>
      </c>
      <c r="H18">
        <v>0</v>
      </c>
      <c r="I18" s="37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s="25" customFormat="1" ht="20.25" customHeight="1" collapsed="1">
      <c r="A19" s="28" t="s">
        <v>123</v>
      </c>
      <c r="B19" s="26">
        <f t="shared" si="0"/>
        <v>108</v>
      </c>
      <c r="C19" s="27">
        <f t="shared" si="1"/>
        <v>2.25</v>
      </c>
      <c r="D19" s="25">
        <f>SUM(D20:D30)</f>
        <v>8</v>
      </c>
      <c r="E19" s="25">
        <f>SUM(E20:E30)</f>
        <v>3</v>
      </c>
      <c r="F19" s="25">
        <f>SUM(F20:F30)</f>
        <v>3</v>
      </c>
      <c r="G19" s="25">
        <f>SUM(G20:G30)</f>
        <v>23</v>
      </c>
      <c r="H19" s="25">
        <f>SUM(H20:H30)</f>
        <v>1</v>
      </c>
      <c r="I19" s="35">
        <f>SUM(I20:I30)</f>
        <v>5</v>
      </c>
      <c r="J19" s="25">
        <f>SUM(J20:J30)</f>
        <v>2</v>
      </c>
      <c r="K19" s="25">
        <f>SUM(K20:K30)</f>
        <v>3</v>
      </c>
      <c r="L19" s="25">
        <f>SUM(L20:L30)</f>
        <v>2</v>
      </c>
      <c r="M19" s="25">
        <f>SUM(M20:M30)</f>
        <v>7</v>
      </c>
      <c r="N19" s="25">
        <f>SUM(N20:N30)</f>
        <v>3</v>
      </c>
      <c r="O19" s="25">
        <f>SUM(O20:O30)</f>
        <v>3</v>
      </c>
      <c r="P19" s="25">
        <f>SUM(P20:P30)</f>
        <v>3</v>
      </c>
      <c r="Q19" s="25">
        <f>SUM(Q20:Q30)</f>
        <v>4</v>
      </c>
      <c r="R19" s="25">
        <f>SUM(R20:R30)</f>
        <v>3</v>
      </c>
      <c r="S19" s="25">
        <f>SUM(S20:S30)</f>
        <v>0</v>
      </c>
      <c r="T19" s="25">
        <f>SUM(T20:T30)</f>
        <v>1</v>
      </c>
      <c r="U19" s="25">
        <f>SUM(U20:U30)</f>
        <v>3</v>
      </c>
      <c r="V19" s="25">
        <f>SUM(V20:V30)</f>
        <v>2</v>
      </c>
      <c r="W19" s="25">
        <f>SUM(W20:W30)</f>
        <v>0</v>
      </c>
      <c r="X19" s="25">
        <f>SUM(X20:X30)</f>
        <v>1</v>
      </c>
      <c r="Y19" s="25">
        <f>SUM(Y20:Y30)</f>
        <v>5</v>
      </c>
      <c r="Z19" s="25">
        <f>SUM(Z20:Z30)</f>
        <v>1</v>
      </c>
      <c r="AA19" s="25">
        <f>SUM(AA20:AA30)</f>
        <v>3</v>
      </c>
      <c r="AB19" s="25">
        <f>SUM(AB20:AB30)</f>
        <v>0</v>
      </c>
      <c r="AC19" s="25">
        <f>SUM(AC20:AC30)</f>
        <v>1</v>
      </c>
      <c r="AD19" s="25">
        <f>SUM(AD20:AD30)</f>
        <v>0</v>
      </c>
      <c r="AE19" s="25">
        <f>SUM(AE20:AE30)</f>
        <v>0</v>
      </c>
      <c r="AF19" s="25">
        <f>SUM(AF20:AF30)</f>
        <v>3</v>
      </c>
      <c r="AG19" s="25">
        <f>SUM(AG20:AG30)</f>
        <v>3</v>
      </c>
      <c r="AH19" s="25">
        <f>SUM(AH20:AH30)</f>
        <v>2</v>
      </c>
      <c r="AI19" s="25">
        <f>SUM(AI20:AI30)</f>
        <v>0</v>
      </c>
      <c r="AJ19" s="25">
        <f>SUM(AJ20:AJ30)</f>
        <v>2</v>
      </c>
      <c r="AK19" s="25">
        <f>SUM(AK20:AK30)</f>
        <v>6</v>
      </c>
      <c r="AL19" s="25">
        <f>SUM(AL20:AL30)</f>
        <v>0</v>
      </c>
      <c r="AM19" s="25">
        <f>SUM(AM20:AM30)</f>
        <v>1</v>
      </c>
      <c r="AN19" s="25">
        <f>SUM(AN20:AN30)</f>
        <v>1</v>
      </c>
      <c r="AO19" s="25">
        <f>SUM(AO20:AO30)</f>
        <v>0</v>
      </c>
      <c r="AP19" s="25">
        <f>SUM(AP20:AP30)</f>
        <v>0</v>
      </c>
      <c r="AQ19" s="25">
        <f>SUM(AQ20:AQ30)</f>
        <v>0</v>
      </c>
      <c r="AR19" s="25">
        <f>SUM(AR20:AR30)</f>
        <v>0</v>
      </c>
      <c r="AS19" s="25">
        <f>SUM(AS20:AS30)</f>
        <v>0</v>
      </c>
      <c r="AT19" s="25">
        <f>SUM(AT20:AT30)</f>
        <v>0</v>
      </c>
      <c r="AU19" s="25">
        <f>SUM(AU20:AU30)</f>
        <v>0</v>
      </c>
      <c r="AV19" s="25">
        <f>SUM(AV20:AV30)</f>
        <v>0</v>
      </c>
      <c r="AW19" s="25">
        <f>SUM(AW20:AW30)</f>
        <v>0</v>
      </c>
      <c r="AX19" s="25">
        <f>SUM(AX20:AX30)</f>
        <v>0</v>
      </c>
      <c r="AY19" s="25">
        <f>SUM(AY20:AY30)</f>
        <v>0</v>
      </c>
    </row>
    <row r="20" spans="1:51" outlineLevel="1">
      <c r="A20" s="5" t="s">
        <v>132</v>
      </c>
      <c r="B20" s="15">
        <f t="shared" si="0"/>
        <v>77</v>
      </c>
      <c r="C20" s="16">
        <f t="shared" si="1"/>
        <v>1.6041666666666667</v>
      </c>
      <c r="D20">
        <v>8</v>
      </c>
      <c r="E20">
        <v>3</v>
      </c>
      <c r="F20">
        <v>3</v>
      </c>
      <c r="G20">
        <v>1</v>
      </c>
      <c r="H20">
        <v>1</v>
      </c>
      <c r="I20" s="37">
        <v>5</v>
      </c>
      <c r="J20">
        <v>2</v>
      </c>
      <c r="K20">
        <v>3</v>
      </c>
      <c r="L20">
        <v>2</v>
      </c>
      <c r="M20">
        <v>3</v>
      </c>
      <c r="N20">
        <v>3</v>
      </c>
      <c r="O20">
        <v>3</v>
      </c>
      <c r="P20">
        <v>3</v>
      </c>
      <c r="Q20">
        <v>3</v>
      </c>
      <c r="R20">
        <v>3</v>
      </c>
      <c r="S20">
        <v>0</v>
      </c>
      <c r="T20">
        <v>1</v>
      </c>
      <c r="U20">
        <v>3</v>
      </c>
      <c r="V20">
        <v>2</v>
      </c>
      <c r="W20">
        <v>0</v>
      </c>
      <c r="X20">
        <v>1</v>
      </c>
      <c r="Y20">
        <v>3</v>
      </c>
      <c r="Z20">
        <v>1</v>
      </c>
      <c r="AA20">
        <v>3</v>
      </c>
      <c r="AB20">
        <v>0</v>
      </c>
      <c r="AC20">
        <v>0</v>
      </c>
      <c r="AD20">
        <v>0</v>
      </c>
      <c r="AE20">
        <v>0</v>
      </c>
      <c r="AF20">
        <v>3</v>
      </c>
      <c r="AG20">
        <v>3</v>
      </c>
      <c r="AH20">
        <v>2</v>
      </c>
      <c r="AI20">
        <v>0</v>
      </c>
      <c r="AJ20">
        <v>2</v>
      </c>
      <c r="AK20">
        <v>6</v>
      </c>
      <c r="AL20">
        <v>0</v>
      </c>
      <c r="AM20">
        <v>0</v>
      </c>
      <c r="AN20">
        <v>1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outlineLevel="1">
      <c r="A21" s="5" t="s">
        <v>129</v>
      </c>
      <c r="B21" s="15">
        <f t="shared" si="0"/>
        <v>26</v>
      </c>
      <c r="C21" s="16">
        <f t="shared" si="1"/>
        <v>0.54166666666666663</v>
      </c>
      <c r="D21">
        <v>0</v>
      </c>
      <c r="E21">
        <v>0</v>
      </c>
      <c r="F21">
        <v>0</v>
      </c>
      <c r="G21">
        <v>21</v>
      </c>
      <c r="H21">
        <v>0</v>
      </c>
      <c r="I21" s="37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2</v>
      </c>
      <c r="Z21">
        <v>0</v>
      </c>
      <c r="AA21">
        <v>0</v>
      </c>
      <c r="AB21">
        <v>0</v>
      </c>
      <c r="AC21">
        <v>1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1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outlineLevel="1">
      <c r="A22" s="5" t="s">
        <v>127</v>
      </c>
      <c r="B22" s="15">
        <f t="shared" si="0"/>
        <v>2</v>
      </c>
      <c r="C22" s="16">
        <f t="shared" si="1"/>
        <v>4.1666666666666664E-2</v>
      </c>
      <c r="D22">
        <v>0</v>
      </c>
      <c r="E22">
        <v>0</v>
      </c>
      <c r="F22">
        <v>0</v>
      </c>
      <c r="G22">
        <v>0</v>
      </c>
      <c r="H22">
        <v>0</v>
      </c>
      <c r="I22" s="37">
        <v>0</v>
      </c>
      <c r="J22">
        <v>0</v>
      </c>
      <c r="K22">
        <v>0</v>
      </c>
      <c r="L22">
        <v>0</v>
      </c>
      <c r="M22">
        <v>2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outlineLevel="1">
      <c r="A23" s="5" t="s">
        <v>128</v>
      </c>
      <c r="B23" s="15">
        <f t="shared" si="0"/>
        <v>2</v>
      </c>
      <c r="C23" s="16">
        <f t="shared" si="1"/>
        <v>4.1666666666666664E-2</v>
      </c>
      <c r="D23">
        <v>0</v>
      </c>
      <c r="E23">
        <v>0</v>
      </c>
      <c r="F23">
        <v>0</v>
      </c>
      <c r="G23">
        <v>0</v>
      </c>
      <c r="H23">
        <v>0</v>
      </c>
      <c r="I23" s="37">
        <v>0</v>
      </c>
      <c r="J23">
        <v>0</v>
      </c>
      <c r="K23">
        <v>0</v>
      </c>
      <c r="L23">
        <v>0</v>
      </c>
      <c r="M23">
        <v>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outlineLevel="1">
      <c r="A24" s="13" t="s">
        <v>130</v>
      </c>
      <c r="B24" s="15">
        <f t="shared" si="0"/>
        <v>1</v>
      </c>
      <c r="C24" s="16">
        <f t="shared" si="1"/>
        <v>2.0833333333333332E-2</v>
      </c>
      <c r="D24">
        <v>0</v>
      </c>
      <c r="E24">
        <v>0</v>
      </c>
      <c r="F24">
        <v>0</v>
      </c>
      <c r="G24">
        <v>1</v>
      </c>
      <c r="H24">
        <v>0</v>
      </c>
      <c r="I24" s="37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outlineLevel="1">
      <c r="A25" s="5" t="s">
        <v>131</v>
      </c>
      <c r="B25" s="15">
        <f t="shared" si="0"/>
        <v>0</v>
      </c>
      <c r="C25" s="16">
        <f t="shared" si="1"/>
        <v>0</v>
      </c>
      <c r="D25">
        <v>0</v>
      </c>
      <c r="E25">
        <v>0</v>
      </c>
      <c r="F25">
        <v>0</v>
      </c>
      <c r="G25">
        <v>0</v>
      </c>
      <c r="H25">
        <v>0</v>
      </c>
      <c r="I25" s="37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outlineLevel="1">
      <c r="A26" s="5" t="s">
        <v>125</v>
      </c>
      <c r="B26" s="15">
        <f t="shared" si="0"/>
        <v>0</v>
      </c>
      <c r="C26" s="16">
        <f t="shared" si="1"/>
        <v>0</v>
      </c>
      <c r="D26">
        <v>0</v>
      </c>
      <c r="E26">
        <v>0</v>
      </c>
      <c r="F26">
        <v>0</v>
      </c>
      <c r="G26">
        <v>0</v>
      </c>
      <c r="H26">
        <v>0</v>
      </c>
      <c r="I26" s="37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outlineLevel="1">
      <c r="A27" s="5" t="s">
        <v>126</v>
      </c>
      <c r="B27" s="15">
        <f t="shared" si="0"/>
        <v>0</v>
      </c>
      <c r="C27" s="16">
        <f t="shared" si="1"/>
        <v>0</v>
      </c>
      <c r="D27">
        <v>0</v>
      </c>
      <c r="E27">
        <v>0</v>
      </c>
      <c r="F27">
        <v>0</v>
      </c>
      <c r="G27">
        <v>0</v>
      </c>
      <c r="H27">
        <v>0</v>
      </c>
      <c r="I27" s="3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outlineLevel="1">
      <c r="A28" s="5" t="s">
        <v>133</v>
      </c>
      <c r="B28" s="15">
        <f t="shared" si="0"/>
        <v>0</v>
      </c>
      <c r="C28" s="16">
        <f t="shared" si="1"/>
        <v>0</v>
      </c>
      <c r="D28">
        <v>0</v>
      </c>
      <c r="E28">
        <v>0</v>
      </c>
      <c r="F28">
        <v>0</v>
      </c>
      <c r="G28">
        <v>0</v>
      </c>
      <c r="H28">
        <v>0</v>
      </c>
      <c r="I28" s="37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outlineLevel="1">
      <c r="A29" s="5" t="s">
        <v>134</v>
      </c>
      <c r="B29" s="15">
        <f t="shared" si="0"/>
        <v>0</v>
      </c>
      <c r="C29" s="16">
        <f t="shared" si="1"/>
        <v>0</v>
      </c>
      <c r="D29">
        <v>0</v>
      </c>
      <c r="E29">
        <v>0</v>
      </c>
      <c r="F29">
        <v>0</v>
      </c>
      <c r="G29">
        <v>0</v>
      </c>
      <c r="H29">
        <v>0</v>
      </c>
      <c r="I29" s="37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outlineLevel="1">
      <c r="A30" s="5" t="s">
        <v>135</v>
      </c>
      <c r="B30" s="15">
        <f t="shared" si="0"/>
        <v>0</v>
      </c>
      <c r="C30" s="16">
        <f t="shared" si="1"/>
        <v>0</v>
      </c>
      <c r="D30">
        <v>0</v>
      </c>
      <c r="E30">
        <v>0</v>
      </c>
      <c r="F30">
        <v>0</v>
      </c>
      <c r="G30">
        <v>0</v>
      </c>
      <c r="H30">
        <v>0</v>
      </c>
      <c r="I30" s="37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s="25" customFormat="1" ht="19.5">
      <c r="A31" s="28" t="s">
        <v>140</v>
      </c>
      <c r="B31" s="26">
        <f t="shared" si="0"/>
        <v>1072</v>
      </c>
      <c r="C31" s="27">
        <f t="shared" si="1"/>
        <v>22.333333333333332</v>
      </c>
      <c r="D31" s="25">
        <f>SUM(D32:D68)</f>
        <v>27</v>
      </c>
      <c r="E31" s="25">
        <f>SUM(E32:E68)</f>
        <v>56</v>
      </c>
      <c r="F31" s="25">
        <f>SUM(F32:F68)</f>
        <v>29</v>
      </c>
      <c r="G31" s="25">
        <f>SUM(G32:G68)</f>
        <v>66</v>
      </c>
      <c r="H31" s="25">
        <f>SUM(H32:H68)</f>
        <v>48</v>
      </c>
      <c r="I31" s="35">
        <f>SUM(I32:I68)</f>
        <v>6</v>
      </c>
      <c r="J31" s="25">
        <f>SUM(J32:J68)</f>
        <v>48</v>
      </c>
      <c r="K31" s="25">
        <f>SUM(K32:K68)</f>
        <v>37</v>
      </c>
      <c r="L31" s="25">
        <f>SUM(L32:L68)</f>
        <v>48</v>
      </c>
      <c r="M31" s="25">
        <f>SUM(M32:M68)</f>
        <v>62</v>
      </c>
      <c r="N31" s="25">
        <f>SUM(N32:N68)</f>
        <v>70</v>
      </c>
      <c r="O31" s="25">
        <f>SUM(O32:O68)</f>
        <v>9</v>
      </c>
      <c r="P31" s="25">
        <f>SUM(P32:P68)</f>
        <v>45</v>
      </c>
      <c r="Q31" s="25">
        <f>SUM(Q32:Q68)</f>
        <v>35</v>
      </c>
      <c r="R31" s="25">
        <f>SUM(R32:R68)</f>
        <v>33</v>
      </c>
      <c r="S31" s="25">
        <f>SUM(S32:S68)</f>
        <v>54</v>
      </c>
      <c r="T31" s="25">
        <f>SUM(T32:T68)</f>
        <v>34</v>
      </c>
      <c r="U31" s="25">
        <f>SUM(U32:U68)</f>
        <v>31</v>
      </c>
      <c r="V31" s="25">
        <f>SUM(V32:V68)</f>
        <v>9</v>
      </c>
      <c r="W31" s="25">
        <f>SUM(W32:W68)</f>
        <v>25</v>
      </c>
      <c r="X31" s="25">
        <f>SUM(X32:X68)</f>
        <v>8</v>
      </c>
      <c r="Y31" s="25">
        <f>SUM(Y32:Y68)</f>
        <v>10</v>
      </c>
      <c r="Z31" s="25">
        <f>SUM(Z32:Z68)</f>
        <v>32</v>
      </c>
      <c r="AA31" s="25">
        <f>SUM(AA32:AA68)</f>
        <v>20</v>
      </c>
      <c r="AB31" s="25">
        <f>SUM(AB32:AB68)</f>
        <v>29</v>
      </c>
      <c r="AC31" s="25">
        <f>SUM(AC32:AC68)</f>
        <v>17</v>
      </c>
      <c r="AD31" s="25">
        <f>SUM(AD32:AD68)</f>
        <v>31</v>
      </c>
      <c r="AE31" s="25">
        <f>SUM(AE32:AE68)</f>
        <v>31</v>
      </c>
      <c r="AF31" s="25">
        <f>SUM(AF32:AF68)</f>
        <v>7</v>
      </c>
      <c r="AG31" s="25">
        <f>SUM(AG32:AG68)</f>
        <v>13</v>
      </c>
      <c r="AH31" s="25">
        <f>SUM(AH32:AH68)</f>
        <v>3</v>
      </c>
      <c r="AI31" s="25">
        <f>SUM(AI32:AI68)</f>
        <v>19</v>
      </c>
      <c r="AJ31" s="25">
        <f>SUM(AJ32:AJ68)</f>
        <v>2</v>
      </c>
      <c r="AK31" s="25">
        <f>SUM(AK32:AK68)</f>
        <v>0</v>
      </c>
      <c r="AL31" s="25">
        <f>SUM(AL32:AL68)</f>
        <v>10</v>
      </c>
      <c r="AM31" s="25">
        <f>SUM(AM32:AM68)</f>
        <v>8</v>
      </c>
      <c r="AN31" s="25">
        <f>SUM(AN32:AN68)</f>
        <v>0</v>
      </c>
      <c r="AO31" s="25">
        <f>SUM(AO32:AO68)</f>
        <v>9</v>
      </c>
      <c r="AP31" s="25">
        <f>SUM(AP32:AP68)</f>
        <v>10</v>
      </c>
      <c r="AQ31" s="25">
        <f>SUM(AQ32:AQ68)</f>
        <v>8</v>
      </c>
      <c r="AR31" s="25">
        <f>SUM(AR32:AR68)</f>
        <v>8</v>
      </c>
      <c r="AS31" s="25">
        <f>SUM(AS32:AS68)</f>
        <v>6</v>
      </c>
      <c r="AT31" s="25">
        <f>SUM(AT32:AT68)</f>
        <v>7</v>
      </c>
      <c r="AU31" s="25">
        <f>SUM(AU32:AU68)</f>
        <v>6</v>
      </c>
      <c r="AV31" s="25">
        <f>SUM(AV32:AV68)</f>
        <v>4</v>
      </c>
      <c r="AW31" s="25">
        <f>SUM(AW32:AW68)</f>
        <v>1</v>
      </c>
      <c r="AX31" s="25">
        <f>SUM(AX32:AX68)</f>
        <v>1</v>
      </c>
      <c r="AY31" s="25">
        <f>SUM(AY32:AY68)</f>
        <v>0</v>
      </c>
    </row>
    <row r="32" spans="1:51" outlineLevel="1">
      <c r="A32" s="5" t="s">
        <v>385</v>
      </c>
      <c r="B32" s="15">
        <f t="shared" si="0"/>
        <v>297</v>
      </c>
      <c r="C32" s="16">
        <f t="shared" si="1"/>
        <v>6.1875</v>
      </c>
      <c r="D32">
        <v>8</v>
      </c>
      <c r="E32">
        <v>26</v>
      </c>
      <c r="F32">
        <v>12</v>
      </c>
      <c r="G32">
        <v>32</v>
      </c>
      <c r="H32">
        <v>23</v>
      </c>
      <c r="I32" s="37">
        <v>0</v>
      </c>
      <c r="J32">
        <v>22</v>
      </c>
      <c r="K32">
        <v>15</v>
      </c>
      <c r="L32">
        <v>18</v>
      </c>
      <c r="M32">
        <v>29</v>
      </c>
      <c r="N32">
        <v>26</v>
      </c>
      <c r="O32">
        <v>0</v>
      </c>
      <c r="P32">
        <v>11</v>
      </c>
      <c r="Q32">
        <v>7</v>
      </c>
      <c r="R32">
        <v>14</v>
      </c>
      <c r="S32">
        <v>0</v>
      </c>
      <c r="T32">
        <v>17</v>
      </c>
      <c r="U32">
        <v>13</v>
      </c>
      <c r="V32">
        <v>3</v>
      </c>
      <c r="W32">
        <v>0</v>
      </c>
      <c r="X32">
        <v>4</v>
      </c>
      <c r="Y32">
        <v>3</v>
      </c>
      <c r="Z32">
        <v>13</v>
      </c>
      <c r="AA32">
        <v>1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outlineLevel="1">
      <c r="A33" s="5" t="s">
        <v>149</v>
      </c>
      <c r="B33" s="15">
        <f t="shared" si="0"/>
        <v>214</v>
      </c>
      <c r="C33" s="16">
        <f t="shared" si="1"/>
        <v>4.458333333333333</v>
      </c>
      <c r="D33">
        <v>0</v>
      </c>
      <c r="E33">
        <v>9</v>
      </c>
      <c r="F33">
        <v>0</v>
      </c>
      <c r="G33">
        <v>32</v>
      </c>
      <c r="H33">
        <v>15</v>
      </c>
      <c r="I33" s="37">
        <v>0</v>
      </c>
      <c r="J33">
        <v>12</v>
      </c>
      <c r="K33">
        <v>0</v>
      </c>
      <c r="L33">
        <v>9</v>
      </c>
      <c r="M33">
        <v>21</v>
      </c>
      <c r="N33">
        <v>20</v>
      </c>
      <c r="O33">
        <v>0</v>
      </c>
      <c r="P33">
        <v>0</v>
      </c>
      <c r="Q33">
        <v>6</v>
      </c>
      <c r="R33">
        <v>9</v>
      </c>
      <c r="S33">
        <v>0</v>
      </c>
      <c r="T33">
        <v>0</v>
      </c>
      <c r="U33">
        <v>7</v>
      </c>
      <c r="V33">
        <v>3</v>
      </c>
      <c r="W33">
        <v>6</v>
      </c>
      <c r="X33">
        <v>1</v>
      </c>
      <c r="Y33">
        <v>0</v>
      </c>
      <c r="Z33">
        <v>10</v>
      </c>
      <c r="AA33">
        <v>0</v>
      </c>
      <c r="AB33">
        <v>13</v>
      </c>
      <c r="AC33">
        <v>0</v>
      </c>
      <c r="AD33">
        <v>8</v>
      </c>
      <c r="AE33">
        <v>12</v>
      </c>
      <c r="AF33">
        <v>0</v>
      </c>
      <c r="AG33">
        <v>0</v>
      </c>
      <c r="AH33">
        <v>0</v>
      </c>
      <c r="AI33">
        <v>16</v>
      </c>
      <c r="AJ33">
        <v>0</v>
      </c>
      <c r="AK33">
        <v>0</v>
      </c>
      <c r="AL33">
        <v>3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2</v>
      </c>
      <c r="AV33">
        <v>0</v>
      </c>
      <c r="AW33">
        <v>0</v>
      </c>
      <c r="AX33">
        <v>0</v>
      </c>
      <c r="AY33">
        <v>0</v>
      </c>
    </row>
    <row r="34" spans="1:51" outlineLevel="1">
      <c r="A34" s="5" t="s">
        <v>152</v>
      </c>
      <c r="B34" s="15">
        <f t="shared" si="0"/>
        <v>190</v>
      </c>
      <c r="C34" s="16">
        <f t="shared" si="1"/>
        <v>3.9583333333333335</v>
      </c>
      <c r="D34">
        <v>8</v>
      </c>
      <c r="E34">
        <v>17</v>
      </c>
      <c r="F34">
        <v>0</v>
      </c>
      <c r="G34">
        <v>0</v>
      </c>
      <c r="H34">
        <v>8</v>
      </c>
      <c r="I34" s="37">
        <v>0</v>
      </c>
      <c r="J34">
        <v>10</v>
      </c>
      <c r="K34">
        <v>15</v>
      </c>
      <c r="L34">
        <v>17</v>
      </c>
      <c r="M34">
        <v>0</v>
      </c>
      <c r="N34">
        <v>6</v>
      </c>
      <c r="O34">
        <v>0</v>
      </c>
      <c r="P34">
        <v>11</v>
      </c>
      <c r="Q34">
        <v>1</v>
      </c>
      <c r="R34">
        <v>6</v>
      </c>
      <c r="S34">
        <v>0</v>
      </c>
      <c r="T34">
        <v>0</v>
      </c>
      <c r="U34">
        <v>6</v>
      </c>
      <c r="V34">
        <v>0</v>
      </c>
      <c r="W34">
        <v>18</v>
      </c>
      <c r="X34">
        <v>3</v>
      </c>
      <c r="Y34">
        <v>3</v>
      </c>
      <c r="Z34">
        <v>3</v>
      </c>
      <c r="AA34">
        <v>1</v>
      </c>
      <c r="AB34">
        <v>9</v>
      </c>
      <c r="AC34">
        <v>2</v>
      </c>
      <c r="AD34">
        <v>20</v>
      </c>
      <c r="AE34">
        <v>15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4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7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outlineLevel="1">
      <c r="A35" s="5" t="s">
        <v>160</v>
      </c>
      <c r="B35" s="15">
        <f t="shared" si="0"/>
        <v>58</v>
      </c>
      <c r="C35" s="16">
        <f t="shared" si="1"/>
        <v>1.2083333333333333</v>
      </c>
      <c r="D35">
        <v>4</v>
      </c>
      <c r="E35">
        <v>1</v>
      </c>
      <c r="F35">
        <v>2</v>
      </c>
      <c r="G35">
        <v>0</v>
      </c>
      <c r="H35">
        <v>0</v>
      </c>
      <c r="I35" s="37">
        <v>3</v>
      </c>
      <c r="J35">
        <v>1</v>
      </c>
      <c r="K35">
        <v>2</v>
      </c>
      <c r="L35">
        <v>1</v>
      </c>
      <c r="M35">
        <v>2</v>
      </c>
      <c r="N35">
        <v>1</v>
      </c>
      <c r="O35">
        <v>2</v>
      </c>
      <c r="P35">
        <v>2</v>
      </c>
      <c r="Q35">
        <v>2</v>
      </c>
      <c r="R35">
        <v>1</v>
      </c>
      <c r="S35">
        <v>0</v>
      </c>
      <c r="T35">
        <v>0</v>
      </c>
      <c r="U35">
        <v>2</v>
      </c>
      <c r="V35">
        <v>0</v>
      </c>
      <c r="W35">
        <v>0</v>
      </c>
      <c r="X35">
        <v>0</v>
      </c>
      <c r="Y35">
        <v>2</v>
      </c>
      <c r="Z35">
        <v>0</v>
      </c>
      <c r="AA35">
        <v>2</v>
      </c>
      <c r="AB35">
        <v>2</v>
      </c>
      <c r="AC35">
        <v>3</v>
      </c>
      <c r="AD35">
        <v>1</v>
      </c>
      <c r="AE35">
        <v>2</v>
      </c>
      <c r="AF35">
        <v>1</v>
      </c>
      <c r="AG35">
        <v>2</v>
      </c>
      <c r="AH35">
        <v>0</v>
      </c>
      <c r="AI35">
        <v>1</v>
      </c>
      <c r="AJ35">
        <v>1</v>
      </c>
      <c r="AK35">
        <v>0</v>
      </c>
      <c r="AL35">
        <v>2</v>
      </c>
      <c r="AM35">
        <v>2</v>
      </c>
      <c r="AN35">
        <v>0</v>
      </c>
      <c r="AO35">
        <v>1</v>
      </c>
      <c r="AP35">
        <v>1</v>
      </c>
      <c r="AQ35">
        <v>2</v>
      </c>
      <c r="AR35">
        <v>0</v>
      </c>
      <c r="AS35">
        <v>2</v>
      </c>
      <c r="AT35">
        <v>1</v>
      </c>
      <c r="AU35">
        <v>2</v>
      </c>
      <c r="AV35">
        <v>2</v>
      </c>
      <c r="AW35">
        <v>0</v>
      </c>
      <c r="AX35">
        <v>0</v>
      </c>
      <c r="AY35">
        <v>0</v>
      </c>
    </row>
    <row r="36" spans="1:51" outlineLevel="1">
      <c r="A36" s="5" t="s">
        <v>168</v>
      </c>
      <c r="B36" s="15">
        <f t="shared" si="0"/>
        <v>45</v>
      </c>
      <c r="C36" s="16">
        <f t="shared" si="1"/>
        <v>0.9375</v>
      </c>
      <c r="D36">
        <v>1</v>
      </c>
      <c r="E36">
        <v>0</v>
      </c>
      <c r="F36">
        <v>0</v>
      </c>
      <c r="G36">
        <v>0</v>
      </c>
      <c r="H36">
        <v>0</v>
      </c>
      <c r="I36" s="37">
        <v>0</v>
      </c>
      <c r="J36">
        <v>0</v>
      </c>
      <c r="K36">
        <v>0</v>
      </c>
      <c r="L36">
        <v>0</v>
      </c>
      <c r="M36">
        <v>1</v>
      </c>
      <c r="N36">
        <v>7</v>
      </c>
      <c r="O36">
        <v>2</v>
      </c>
      <c r="P36">
        <v>10</v>
      </c>
      <c r="Q36">
        <v>8</v>
      </c>
      <c r="R36">
        <v>0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3</v>
      </c>
      <c r="AC36">
        <v>0</v>
      </c>
      <c r="AD36">
        <v>0</v>
      </c>
      <c r="AE36">
        <v>0</v>
      </c>
      <c r="AF36">
        <v>0</v>
      </c>
      <c r="AG36">
        <v>4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1</v>
      </c>
      <c r="AN36">
        <v>0</v>
      </c>
      <c r="AO36">
        <v>2</v>
      </c>
      <c r="AP36">
        <v>0</v>
      </c>
      <c r="AQ36">
        <v>2</v>
      </c>
      <c r="AR36">
        <v>0</v>
      </c>
      <c r="AS36">
        <v>1</v>
      </c>
      <c r="AT36">
        <v>2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outlineLevel="1">
      <c r="A37" s="5" t="s">
        <v>173</v>
      </c>
      <c r="B37" s="15">
        <f t="shared" si="0"/>
        <v>45</v>
      </c>
      <c r="C37" s="16">
        <f t="shared" si="1"/>
        <v>0.9375</v>
      </c>
      <c r="D37">
        <v>2</v>
      </c>
      <c r="E37">
        <v>0</v>
      </c>
      <c r="F37">
        <v>0</v>
      </c>
      <c r="G37">
        <v>0</v>
      </c>
      <c r="H37">
        <v>0</v>
      </c>
      <c r="I37" s="37">
        <v>0</v>
      </c>
      <c r="J37">
        <v>0</v>
      </c>
      <c r="K37">
        <v>1</v>
      </c>
      <c r="L37">
        <v>0</v>
      </c>
      <c r="M37">
        <v>2</v>
      </c>
      <c r="N37">
        <v>7</v>
      </c>
      <c r="O37">
        <v>2</v>
      </c>
      <c r="P37">
        <v>10</v>
      </c>
      <c r="Q37">
        <v>8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8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4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outlineLevel="1">
      <c r="A38" s="5" t="s">
        <v>163</v>
      </c>
      <c r="B38" s="15">
        <f t="shared" si="0"/>
        <v>37</v>
      </c>
      <c r="C38" s="16">
        <f t="shared" si="1"/>
        <v>0.77083333333333337</v>
      </c>
      <c r="D38">
        <v>1</v>
      </c>
      <c r="E38">
        <v>1</v>
      </c>
      <c r="F38">
        <v>1</v>
      </c>
      <c r="G38">
        <v>0</v>
      </c>
      <c r="H38">
        <v>0</v>
      </c>
      <c r="I38" s="37">
        <v>1</v>
      </c>
      <c r="J38">
        <v>1</v>
      </c>
      <c r="K38">
        <v>1</v>
      </c>
      <c r="L38">
        <v>1</v>
      </c>
      <c r="M38">
        <v>2</v>
      </c>
      <c r="N38">
        <v>1</v>
      </c>
      <c r="O38">
        <v>1</v>
      </c>
      <c r="P38">
        <v>1</v>
      </c>
      <c r="Q38">
        <v>1</v>
      </c>
      <c r="R38">
        <v>1</v>
      </c>
      <c r="S38">
        <v>0</v>
      </c>
      <c r="T38">
        <v>0</v>
      </c>
      <c r="U38">
        <v>1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0</v>
      </c>
      <c r="AL38">
        <v>1</v>
      </c>
      <c r="AM38">
        <v>1</v>
      </c>
      <c r="AN38">
        <v>0</v>
      </c>
      <c r="AO38">
        <v>1</v>
      </c>
      <c r="AP38">
        <v>1</v>
      </c>
      <c r="AQ38">
        <v>2</v>
      </c>
      <c r="AR38">
        <v>0</v>
      </c>
      <c r="AS38">
        <v>2</v>
      </c>
      <c r="AT38">
        <v>1</v>
      </c>
      <c r="AU38">
        <v>1</v>
      </c>
      <c r="AV38">
        <v>1</v>
      </c>
      <c r="AW38">
        <v>1</v>
      </c>
      <c r="AX38">
        <v>0</v>
      </c>
      <c r="AY38">
        <v>0</v>
      </c>
    </row>
    <row r="39" spans="1:51" outlineLevel="1">
      <c r="A39" s="5" t="s">
        <v>166</v>
      </c>
      <c r="B39" s="15">
        <f t="shared" si="0"/>
        <v>36</v>
      </c>
      <c r="C39" s="16">
        <f t="shared" si="1"/>
        <v>0.75</v>
      </c>
      <c r="D39">
        <v>1</v>
      </c>
      <c r="E39">
        <v>1</v>
      </c>
      <c r="F39">
        <v>1</v>
      </c>
      <c r="G39">
        <v>1</v>
      </c>
      <c r="H39">
        <v>1</v>
      </c>
      <c r="I39" s="37">
        <v>1</v>
      </c>
      <c r="J39">
        <v>1</v>
      </c>
      <c r="K39">
        <v>1</v>
      </c>
      <c r="L39">
        <v>1</v>
      </c>
      <c r="M39">
        <v>0</v>
      </c>
      <c r="N39">
        <v>1</v>
      </c>
      <c r="O39">
        <v>1</v>
      </c>
      <c r="P39">
        <v>0</v>
      </c>
      <c r="Q39">
        <v>1</v>
      </c>
      <c r="R39">
        <v>1</v>
      </c>
      <c r="S39">
        <v>0</v>
      </c>
      <c r="T39">
        <v>0</v>
      </c>
      <c r="U39">
        <v>1</v>
      </c>
      <c r="V39">
        <v>0</v>
      </c>
      <c r="W39">
        <v>1</v>
      </c>
      <c r="X39">
        <v>0</v>
      </c>
      <c r="Y39">
        <v>1</v>
      </c>
      <c r="Z39">
        <v>1</v>
      </c>
      <c r="AA39">
        <v>0</v>
      </c>
      <c r="AB39">
        <v>0</v>
      </c>
      <c r="AC39">
        <v>2</v>
      </c>
      <c r="AD39">
        <v>1</v>
      </c>
      <c r="AE39">
        <v>1</v>
      </c>
      <c r="AF39">
        <v>2</v>
      </c>
      <c r="AG39">
        <v>1</v>
      </c>
      <c r="AH39">
        <v>1</v>
      </c>
      <c r="AI39">
        <v>1</v>
      </c>
      <c r="AJ39">
        <v>0</v>
      </c>
      <c r="AK39">
        <v>0</v>
      </c>
      <c r="AL39">
        <v>0</v>
      </c>
      <c r="AM39">
        <v>1</v>
      </c>
      <c r="AN39">
        <v>0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0</v>
      </c>
      <c r="AX39">
        <v>1</v>
      </c>
      <c r="AY39">
        <v>0</v>
      </c>
    </row>
    <row r="40" spans="1:51" outlineLevel="1">
      <c r="A40" s="5" t="s">
        <v>141</v>
      </c>
      <c r="B40" s="15">
        <f t="shared" si="0"/>
        <v>33</v>
      </c>
      <c r="C40" s="16">
        <f t="shared" si="1"/>
        <v>0.6875</v>
      </c>
      <c r="D40">
        <v>0</v>
      </c>
      <c r="E40">
        <v>0</v>
      </c>
      <c r="F40">
        <v>0</v>
      </c>
      <c r="G40">
        <v>0</v>
      </c>
      <c r="H40">
        <v>0</v>
      </c>
      <c r="I40" s="37">
        <v>0</v>
      </c>
      <c r="J40">
        <v>0</v>
      </c>
      <c r="K40">
        <v>0</v>
      </c>
      <c r="L40">
        <v>0</v>
      </c>
      <c r="M40">
        <v>4</v>
      </c>
      <c r="N40">
        <v>0</v>
      </c>
      <c r="O40">
        <v>0</v>
      </c>
      <c r="P40">
        <v>0</v>
      </c>
      <c r="Q40">
        <v>0</v>
      </c>
      <c r="R40">
        <v>0</v>
      </c>
      <c r="S40">
        <v>19</v>
      </c>
      <c r="T40">
        <v>9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1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outlineLevel="1">
      <c r="A41" s="5" t="s">
        <v>142</v>
      </c>
      <c r="B41" s="15">
        <f t="shared" si="0"/>
        <v>29</v>
      </c>
      <c r="C41" s="16">
        <f t="shared" si="1"/>
        <v>0.60416666666666663</v>
      </c>
      <c r="D41">
        <v>0</v>
      </c>
      <c r="E41">
        <v>0</v>
      </c>
      <c r="F41">
        <v>0</v>
      </c>
      <c r="G41">
        <v>0</v>
      </c>
      <c r="H41">
        <v>0</v>
      </c>
      <c r="I41" s="37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19</v>
      </c>
      <c r="T41">
        <v>8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1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1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outlineLevel="1">
      <c r="A42" s="5" t="s">
        <v>143</v>
      </c>
      <c r="B42" s="15">
        <f t="shared" si="0"/>
        <v>29</v>
      </c>
      <c r="C42" s="16">
        <f t="shared" si="1"/>
        <v>0.60416666666666663</v>
      </c>
      <c r="D42">
        <v>0</v>
      </c>
      <c r="E42">
        <v>0</v>
      </c>
      <c r="F42">
        <v>12</v>
      </c>
      <c r="G42">
        <v>0</v>
      </c>
      <c r="H42">
        <v>0</v>
      </c>
      <c r="I42" s="37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9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2</v>
      </c>
      <c r="AP42">
        <v>4</v>
      </c>
      <c r="AQ42">
        <v>0</v>
      </c>
      <c r="AR42">
        <v>0</v>
      </c>
      <c r="AS42">
        <v>0</v>
      </c>
      <c r="AT42">
        <v>1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outlineLevel="1">
      <c r="A43" s="5" t="s">
        <v>174</v>
      </c>
      <c r="B43" s="15">
        <f t="shared" si="0"/>
        <v>19</v>
      </c>
      <c r="C43" s="16">
        <f t="shared" si="1"/>
        <v>0.39583333333333331</v>
      </c>
      <c r="D43">
        <v>1</v>
      </c>
      <c r="E43">
        <v>1</v>
      </c>
      <c r="F43">
        <v>1</v>
      </c>
      <c r="G43">
        <v>1</v>
      </c>
      <c r="H43">
        <v>1</v>
      </c>
      <c r="I43" s="37">
        <v>1</v>
      </c>
      <c r="J43">
        <v>1</v>
      </c>
      <c r="K43">
        <v>1</v>
      </c>
      <c r="L43">
        <v>1</v>
      </c>
      <c r="M43">
        <v>0</v>
      </c>
      <c r="N43">
        <v>1</v>
      </c>
      <c r="O43">
        <v>1</v>
      </c>
      <c r="P43">
        <v>0</v>
      </c>
      <c r="Q43">
        <v>1</v>
      </c>
      <c r="R43">
        <v>1</v>
      </c>
      <c r="S43">
        <v>0</v>
      </c>
      <c r="T43">
        <v>0</v>
      </c>
      <c r="U43">
        <v>1</v>
      </c>
      <c r="V43">
        <v>0</v>
      </c>
      <c r="W43">
        <v>0</v>
      </c>
      <c r="X43">
        <v>0</v>
      </c>
      <c r="Y43">
        <v>1</v>
      </c>
      <c r="Z43">
        <v>1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</v>
      </c>
      <c r="AG43">
        <v>1</v>
      </c>
      <c r="AH43">
        <v>1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outlineLevel="1">
      <c r="A44" s="5" t="s">
        <v>165</v>
      </c>
      <c r="B44" s="15">
        <f t="shared" si="0"/>
        <v>16</v>
      </c>
      <c r="C44" s="16">
        <f t="shared" si="1"/>
        <v>0.33333333333333331</v>
      </c>
      <c r="D44">
        <v>1</v>
      </c>
      <c r="E44">
        <v>0</v>
      </c>
      <c r="F44">
        <v>0</v>
      </c>
      <c r="G44">
        <v>0</v>
      </c>
      <c r="H44">
        <v>0</v>
      </c>
      <c r="I44" s="37">
        <v>0</v>
      </c>
      <c r="J44">
        <v>0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8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3</v>
      </c>
      <c r="AN44">
        <v>0</v>
      </c>
      <c r="AO44">
        <v>1</v>
      </c>
      <c r="AP44">
        <v>0</v>
      </c>
      <c r="AQ44">
        <v>1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outlineLevel="1">
      <c r="A45" s="5" t="s">
        <v>153</v>
      </c>
      <c r="B45" s="15">
        <f t="shared" si="0"/>
        <v>13</v>
      </c>
      <c r="C45" s="16">
        <f t="shared" si="1"/>
        <v>0.27083333333333331</v>
      </c>
      <c r="D45">
        <v>0</v>
      </c>
      <c r="E45">
        <v>0</v>
      </c>
      <c r="F45">
        <v>0</v>
      </c>
      <c r="G45">
        <v>0</v>
      </c>
      <c r="H45">
        <v>0</v>
      </c>
      <c r="I45" s="37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6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3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outlineLevel="1">
      <c r="A46" s="5" t="s">
        <v>151</v>
      </c>
      <c r="B46" s="15">
        <f t="shared" si="0"/>
        <v>4</v>
      </c>
      <c r="C46" s="16">
        <f t="shared" si="1"/>
        <v>8.3333333333333329E-2</v>
      </c>
      <c r="D46">
        <v>0</v>
      </c>
      <c r="E46">
        <v>0</v>
      </c>
      <c r="F46">
        <v>0</v>
      </c>
      <c r="G46">
        <v>0</v>
      </c>
      <c r="H46">
        <v>0</v>
      </c>
      <c r="I46" s="37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4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outlineLevel="1">
      <c r="A47" s="5" t="s">
        <v>159</v>
      </c>
      <c r="B47" s="15">
        <f t="shared" si="0"/>
        <v>3</v>
      </c>
      <c r="C47" s="16">
        <f t="shared" si="1"/>
        <v>6.25E-2</v>
      </c>
      <c r="D47">
        <v>0</v>
      </c>
      <c r="E47">
        <v>0</v>
      </c>
      <c r="F47">
        <v>0</v>
      </c>
      <c r="G47">
        <v>0</v>
      </c>
      <c r="H47">
        <v>0</v>
      </c>
      <c r="I47" s="3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3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outlineLevel="1">
      <c r="A48" s="13" t="s">
        <v>167</v>
      </c>
      <c r="B48" s="15">
        <f t="shared" si="0"/>
        <v>2</v>
      </c>
      <c r="C48" s="16">
        <f t="shared" si="1"/>
        <v>4.1666666666666664E-2</v>
      </c>
      <c r="D48">
        <v>0</v>
      </c>
      <c r="E48">
        <v>0</v>
      </c>
      <c r="F48">
        <v>0</v>
      </c>
      <c r="G48">
        <v>0</v>
      </c>
      <c r="H48">
        <v>0</v>
      </c>
      <c r="I48" s="37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1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outlineLevel="1">
      <c r="A49" s="5" t="s">
        <v>145</v>
      </c>
      <c r="B49" s="15">
        <f t="shared" si="0"/>
        <v>1</v>
      </c>
      <c r="C49" s="16">
        <f t="shared" si="1"/>
        <v>2.0833333333333332E-2</v>
      </c>
      <c r="D49">
        <v>0</v>
      </c>
      <c r="E49">
        <v>0</v>
      </c>
      <c r="F49">
        <v>0</v>
      </c>
      <c r="G49">
        <v>0</v>
      </c>
      <c r="H49">
        <v>0</v>
      </c>
      <c r="I49" s="37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outlineLevel="1">
      <c r="A50" s="5" t="s">
        <v>146</v>
      </c>
      <c r="B50" s="15">
        <f t="shared" si="0"/>
        <v>1</v>
      </c>
      <c r="C50" s="16">
        <f t="shared" si="1"/>
        <v>2.0833333333333332E-2</v>
      </c>
      <c r="D50">
        <v>0</v>
      </c>
      <c r="E50">
        <v>0</v>
      </c>
      <c r="F50">
        <v>0</v>
      </c>
      <c r="G50">
        <v>0</v>
      </c>
      <c r="H50">
        <v>0</v>
      </c>
      <c r="I50" s="37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outlineLevel="1">
      <c r="A51" s="5" t="s">
        <v>144</v>
      </c>
      <c r="B51" s="15">
        <f t="shared" si="0"/>
        <v>0</v>
      </c>
      <c r="C51" s="16">
        <f t="shared" si="1"/>
        <v>0</v>
      </c>
      <c r="D51">
        <v>0</v>
      </c>
      <c r="E51">
        <v>0</v>
      </c>
      <c r="F51">
        <v>0</v>
      </c>
      <c r="G51">
        <v>0</v>
      </c>
      <c r="H51">
        <v>0</v>
      </c>
      <c r="I51" s="37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outlineLevel="1">
      <c r="A52" s="5" t="s">
        <v>147</v>
      </c>
      <c r="B52" s="15">
        <f t="shared" si="0"/>
        <v>0</v>
      </c>
      <c r="C52" s="16">
        <f t="shared" si="1"/>
        <v>0</v>
      </c>
      <c r="D52">
        <v>0</v>
      </c>
      <c r="E52">
        <v>0</v>
      </c>
      <c r="F52">
        <v>0</v>
      </c>
      <c r="G52">
        <v>0</v>
      </c>
      <c r="H52">
        <v>0</v>
      </c>
      <c r="I52" s="37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outlineLevel="1">
      <c r="A53" s="5" t="s">
        <v>148</v>
      </c>
      <c r="B53" s="15">
        <f t="shared" si="0"/>
        <v>0</v>
      </c>
      <c r="C53" s="16">
        <f t="shared" si="1"/>
        <v>0</v>
      </c>
      <c r="D53">
        <v>0</v>
      </c>
      <c r="E53">
        <v>0</v>
      </c>
      <c r="F53">
        <v>0</v>
      </c>
      <c r="G53">
        <v>0</v>
      </c>
      <c r="H53">
        <v>0</v>
      </c>
      <c r="I53" s="37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  <row r="54" spans="1:51" outlineLevel="1">
      <c r="A54" s="5" t="s">
        <v>169</v>
      </c>
      <c r="B54" s="15">
        <f t="shared" si="0"/>
        <v>0</v>
      </c>
      <c r="C54" s="16">
        <f t="shared" si="1"/>
        <v>0</v>
      </c>
      <c r="D54">
        <v>0</v>
      </c>
      <c r="E54">
        <v>0</v>
      </c>
      <c r="F54">
        <v>0</v>
      </c>
      <c r="G54">
        <v>0</v>
      </c>
      <c r="H54">
        <v>0</v>
      </c>
      <c r="I54" s="37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</row>
    <row r="55" spans="1:51" outlineLevel="1">
      <c r="A55" s="5" t="s">
        <v>150</v>
      </c>
      <c r="B55" s="15">
        <f t="shared" si="0"/>
        <v>0</v>
      </c>
      <c r="C55" s="16">
        <f t="shared" si="1"/>
        <v>0</v>
      </c>
      <c r="D55">
        <v>0</v>
      </c>
      <c r="E55">
        <v>0</v>
      </c>
      <c r="F55">
        <v>0</v>
      </c>
      <c r="G55">
        <v>0</v>
      </c>
      <c r="H55">
        <v>0</v>
      </c>
      <c r="I55" s="37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</row>
    <row r="56" spans="1:51" outlineLevel="1">
      <c r="A56" s="5" t="s">
        <v>170</v>
      </c>
      <c r="B56" s="15">
        <f t="shared" si="0"/>
        <v>0</v>
      </c>
      <c r="C56" s="16">
        <f t="shared" si="1"/>
        <v>0</v>
      </c>
      <c r="D56">
        <v>0</v>
      </c>
      <c r="E56">
        <v>0</v>
      </c>
      <c r="F56">
        <v>0</v>
      </c>
      <c r="G56">
        <v>0</v>
      </c>
      <c r="H56">
        <v>0</v>
      </c>
      <c r="I56" s="37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</row>
    <row r="57" spans="1:51" outlineLevel="1">
      <c r="A57" s="5" t="s">
        <v>171</v>
      </c>
      <c r="B57" s="15">
        <f t="shared" si="0"/>
        <v>0</v>
      </c>
      <c r="C57" s="16">
        <f t="shared" si="1"/>
        <v>0</v>
      </c>
      <c r="D57">
        <v>0</v>
      </c>
      <c r="E57">
        <v>0</v>
      </c>
      <c r="F57">
        <v>0</v>
      </c>
      <c r="G57">
        <v>0</v>
      </c>
      <c r="H57">
        <v>0</v>
      </c>
      <c r="I57" s="3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</row>
    <row r="58" spans="1:51" outlineLevel="1">
      <c r="A58" s="5" t="s">
        <v>154</v>
      </c>
      <c r="B58" s="15">
        <f t="shared" si="0"/>
        <v>0</v>
      </c>
      <c r="C58" s="16">
        <f t="shared" si="1"/>
        <v>0</v>
      </c>
      <c r="D58">
        <v>0</v>
      </c>
      <c r="E58">
        <v>0</v>
      </c>
      <c r="F58">
        <v>0</v>
      </c>
      <c r="G58">
        <v>0</v>
      </c>
      <c r="H58">
        <v>0</v>
      </c>
      <c r="I58" s="37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 outlineLevel="1">
      <c r="A59" s="5" t="s">
        <v>155</v>
      </c>
      <c r="B59" s="15">
        <f t="shared" si="0"/>
        <v>0</v>
      </c>
      <c r="C59" s="16">
        <f t="shared" si="1"/>
        <v>0</v>
      </c>
      <c r="D59">
        <v>0</v>
      </c>
      <c r="E59">
        <v>0</v>
      </c>
      <c r="F59">
        <v>0</v>
      </c>
      <c r="G59">
        <v>0</v>
      </c>
      <c r="H59">
        <v>0</v>
      </c>
      <c r="I59" s="37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 outlineLevel="1">
      <c r="A60" s="5" t="s">
        <v>156</v>
      </c>
      <c r="B60" s="15">
        <f t="shared" si="0"/>
        <v>0</v>
      </c>
      <c r="C60" s="16">
        <f t="shared" si="1"/>
        <v>0</v>
      </c>
      <c r="D60">
        <v>0</v>
      </c>
      <c r="E60">
        <v>0</v>
      </c>
      <c r="F60">
        <v>0</v>
      </c>
      <c r="G60">
        <v>0</v>
      </c>
      <c r="H60">
        <v>0</v>
      </c>
      <c r="I60" s="37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outlineLevel="1">
      <c r="A61" s="5" t="s">
        <v>157</v>
      </c>
      <c r="B61" s="15">
        <f t="shared" si="0"/>
        <v>0</v>
      </c>
      <c r="C61" s="16">
        <f t="shared" si="1"/>
        <v>0</v>
      </c>
      <c r="D61">
        <v>0</v>
      </c>
      <c r="E61">
        <v>0</v>
      </c>
      <c r="F61">
        <v>0</v>
      </c>
      <c r="G61">
        <v>0</v>
      </c>
      <c r="H61">
        <v>0</v>
      </c>
      <c r="I61" s="37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</row>
    <row r="62" spans="1:51" outlineLevel="1">
      <c r="A62" s="5" t="s">
        <v>158</v>
      </c>
      <c r="B62" s="15">
        <f t="shared" si="0"/>
        <v>0</v>
      </c>
      <c r="C62" s="16">
        <f t="shared" si="1"/>
        <v>0</v>
      </c>
      <c r="D62">
        <v>0</v>
      </c>
      <c r="E62">
        <v>0</v>
      </c>
      <c r="F62">
        <v>0</v>
      </c>
      <c r="G62">
        <v>0</v>
      </c>
      <c r="H62">
        <v>0</v>
      </c>
      <c r="I62" s="37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</row>
    <row r="63" spans="1:51" outlineLevel="1">
      <c r="A63" s="5" t="s">
        <v>161</v>
      </c>
      <c r="B63" s="15">
        <f t="shared" si="0"/>
        <v>0</v>
      </c>
      <c r="C63" s="16">
        <f t="shared" si="1"/>
        <v>0</v>
      </c>
      <c r="D63">
        <v>0</v>
      </c>
      <c r="E63">
        <v>0</v>
      </c>
      <c r="F63">
        <v>0</v>
      </c>
      <c r="G63">
        <v>0</v>
      </c>
      <c r="H63">
        <v>0</v>
      </c>
      <c r="I63" s="37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</row>
    <row r="64" spans="1:51" outlineLevel="1">
      <c r="A64" s="5" t="s">
        <v>162</v>
      </c>
      <c r="B64" s="15">
        <f t="shared" si="0"/>
        <v>0</v>
      </c>
      <c r="C64" s="16">
        <f t="shared" si="1"/>
        <v>0</v>
      </c>
      <c r="D64">
        <v>0</v>
      </c>
      <c r="E64">
        <v>0</v>
      </c>
      <c r="F64">
        <v>0</v>
      </c>
      <c r="G64">
        <v>0</v>
      </c>
      <c r="H64">
        <v>0</v>
      </c>
      <c r="I64" s="37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</row>
    <row r="65" spans="1:51" outlineLevel="1">
      <c r="A65" s="5" t="s">
        <v>164</v>
      </c>
      <c r="B65" s="15">
        <f t="shared" si="0"/>
        <v>0</v>
      </c>
      <c r="C65" s="16">
        <f t="shared" si="1"/>
        <v>0</v>
      </c>
      <c r="D65">
        <v>0</v>
      </c>
      <c r="E65">
        <v>0</v>
      </c>
      <c r="F65">
        <v>0</v>
      </c>
      <c r="G65">
        <v>0</v>
      </c>
      <c r="H65">
        <v>0</v>
      </c>
      <c r="I65" s="37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</row>
    <row r="66" spans="1:51" outlineLevel="1">
      <c r="A66" s="5" t="s">
        <v>175</v>
      </c>
      <c r="B66" s="15">
        <f t="shared" ref="B66:B129" si="2">SUM(D66:AY66)</f>
        <v>0</v>
      </c>
      <c r="C66" s="16">
        <f t="shared" ref="C66:C129" si="3">AVERAGE(D66:AY66)</f>
        <v>0</v>
      </c>
      <c r="D66">
        <v>0</v>
      </c>
      <c r="E66">
        <v>0</v>
      </c>
      <c r="F66">
        <v>0</v>
      </c>
      <c r="G66">
        <v>0</v>
      </c>
      <c r="H66">
        <v>0</v>
      </c>
      <c r="I66" s="37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</row>
    <row r="67" spans="1:51" outlineLevel="1">
      <c r="A67" s="5" t="s">
        <v>383</v>
      </c>
      <c r="B67" s="15">
        <f t="shared" si="2"/>
        <v>0</v>
      </c>
      <c r="C67" s="16">
        <f t="shared" si="3"/>
        <v>0</v>
      </c>
      <c r="D67">
        <v>0</v>
      </c>
      <c r="E67">
        <v>0</v>
      </c>
      <c r="F67">
        <v>0</v>
      </c>
      <c r="G67">
        <v>0</v>
      </c>
      <c r="H67">
        <v>0</v>
      </c>
      <c r="I67" s="3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</row>
    <row r="68" spans="1:51" outlineLevel="1">
      <c r="A68" s="5" t="s">
        <v>384</v>
      </c>
      <c r="B68" s="15">
        <f t="shared" si="2"/>
        <v>0</v>
      </c>
      <c r="C68" s="16">
        <f t="shared" si="3"/>
        <v>0</v>
      </c>
      <c r="D68">
        <v>0</v>
      </c>
      <c r="E68">
        <v>0</v>
      </c>
      <c r="F68">
        <v>0</v>
      </c>
      <c r="G68">
        <v>0</v>
      </c>
      <c r="H68">
        <v>0</v>
      </c>
      <c r="I68" s="37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</row>
    <row r="69" spans="1:51" s="25" customFormat="1" ht="19.5">
      <c r="A69" s="28" t="s">
        <v>176</v>
      </c>
      <c r="B69" s="26">
        <f t="shared" si="2"/>
        <v>123</v>
      </c>
      <c r="C69" s="27">
        <f t="shared" si="3"/>
        <v>2.5625</v>
      </c>
      <c r="D69" s="25">
        <f>SUM(D70:D103)</f>
        <v>7</v>
      </c>
      <c r="E69" s="25">
        <f>SUM(E70:E103)</f>
        <v>10</v>
      </c>
      <c r="F69" s="25">
        <f>SUM(F70:F103)</f>
        <v>2</v>
      </c>
      <c r="G69" s="25">
        <f>SUM(G70:G103)</f>
        <v>2</v>
      </c>
      <c r="H69" s="25">
        <f>SUM(H70:H103)</f>
        <v>2</v>
      </c>
      <c r="I69" s="35">
        <f>SUM(I70:I103)</f>
        <v>1</v>
      </c>
      <c r="J69" s="25">
        <f>SUM(J70:J103)</f>
        <v>2</v>
      </c>
      <c r="K69" s="25">
        <f>SUM(K70:K103)</f>
        <v>1</v>
      </c>
      <c r="L69" s="25">
        <f>SUM(L70:L103)</f>
        <v>19</v>
      </c>
      <c r="M69" s="25">
        <f>SUM(M70:M103)</f>
        <v>4</v>
      </c>
      <c r="N69" s="25">
        <f>SUM(N70:N103)</f>
        <v>2</v>
      </c>
      <c r="O69" s="25">
        <f>SUM(O70:O103)</f>
        <v>5</v>
      </c>
      <c r="P69" s="25">
        <f>SUM(P70:P103)</f>
        <v>4</v>
      </c>
      <c r="Q69" s="25">
        <f>SUM(Q70:Q103)</f>
        <v>3</v>
      </c>
      <c r="R69" s="25">
        <f>SUM(R70:R103)</f>
        <v>9</v>
      </c>
      <c r="S69" s="25">
        <f>SUM(S70:S103)</f>
        <v>0</v>
      </c>
      <c r="T69" s="25">
        <f>SUM(T70:T103)</f>
        <v>4</v>
      </c>
      <c r="U69" s="25">
        <f>SUM(U70:U103)</f>
        <v>0</v>
      </c>
      <c r="V69" s="25">
        <f>SUM(V70:V103)</f>
        <v>5</v>
      </c>
      <c r="W69" s="25">
        <f>SUM(W70:W103)</f>
        <v>7</v>
      </c>
      <c r="X69" s="25">
        <f>SUM(X70:X103)</f>
        <v>8</v>
      </c>
      <c r="Y69" s="25">
        <f>SUM(Y70:Y103)</f>
        <v>4</v>
      </c>
      <c r="Z69" s="25">
        <f>SUM(Z70:Z103)</f>
        <v>0</v>
      </c>
      <c r="AA69" s="25">
        <f>SUM(AA70:AA103)</f>
        <v>0</v>
      </c>
      <c r="AB69" s="25">
        <f>SUM(AB70:AB103)</f>
        <v>4</v>
      </c>
      <c r="AC69" s="25">
        <f>SUM(AC70:AC103)</f>
        <v>2</v>
      </c>
      <c r="AD69" s="25">
        <f>SUM(AD70:AD103)</f>
        <v>0</v>
      </c>
      <c r="AE69" s="25">
        <f>SUM(AE70:AE103)</f>
        <v>0</v>
      </c>
      <c r="AF69" s="25">
        <f>SUM(AF70:AF103)</f>
        <v>1</v>
      </c>
      <c r="AG69" s="25">
        <f>SUM(AG70:AG103)</f>
        <v>1</v>
      </c>
      <c r="AH69" s="25">
        <f>SUM(AH70:AH103)</f>
        <v>0</v>
      </c>
      <c r="AI69" s="25">
        <f>SUM(AI70:AI103)</f>
        <v>0</v>
      </c>
      <c r="AJ69" s="25">
        <f>SUM(AJ70:AJ103)</f>
        <v>0</v>
      </c>
      <c r="AK69" s="25">
        <f>SUM(AK70:AK103)</f>
        <v>1</v>
      </c>
      <c r="AL69" s="25">
        <f>SUM(AL70:AL103)</f>
        <v>2</v>
      </c>
      <c r="AM69" s="25">
        <f>SUM(AM70:AM103)</f>
        <v>3</v>
      </c>
      <c r="AN69" s="25">
        <f>SUM(AN70:AN103)</f>
        <v>2</v>
      </c>
      <c r="AO69" s="25">
        <f>SUM(AO70:AO103)</f>
        <v>2</v>
      </c>
      <c r="AP69" s="25">
        <f>SUM(AP70:AP103)</f>
        <v>0</v>
      </c>
      <c r="AQ69" s="25">
        <f>SUM(AQ70:AQ103)</f>
        <v>2</v>
      </c>
      <c r="AR69" s="25">
        <f>SUM(AR70:AR103)</f>
        <v>1</v>
      </c>
      <c r="AS69" s="25">
        <f>SUM(AS70:AS103)</f>
        <v>1</v>
      </c>
      <c r="AT69" s="25">
        <f>SUM(AT70:AT103)</f>
        <v>0</v>
      </c>
      <c r="AU69" s="25">
        <f>SUM(AU70:AU103)</f>
        <v>0</v>
      </c>
      <c r="AV69" s="25">
        <f>SUM(AV70:AV103)</f>
        <v>0</v>
      </c>
      <c r="AW69" s="25">
        <f>SUM(AW70:AW103)</f>
        <v>0</v>
      </c>
      <c r="AX69" s="25">
        <f>SUM(AX70:AX103)</f>
        <v>0</v>
      </c>
      <c r="AY69" s="25">
        <f>SUM(AY70:AY103)</f>
        <v>0</v>
      </c>
    </row>
    <row r="70" spans="1:51" outlineLevel="1">
      <c r="A70" s="5" t="s">
        <v>208</v>
      </c>
      <c r="B70" s="15">
        <f t="shared" si="2"/>
        <v>41</v>
      </c>
      <c r="C70" s="16">
        <f t="shared" si="3"/>
        <v>0.85416666666666663</v>
      </c>
      <c r="D70">
        <v>4</v>
      </c>
      <c r="E70">
        <v>0</v>
      </c>
      <c r="F70">
        <v>2</v>
      </c>
      <c r="G70">
        <v>2</v>
      </c>
      <c r="H70">
        <v>2</v>
      </c>
      <c r="I70" s="37">
        <v>0</v>
      </c>
      <c r="J70">
        <v>2</v>
      </c>
      <c r="K70">
        <v>0</v>
      </c>
      <c r="L70">
        <v>1</v>
      </c>
      <c r="M70">
        <v>2</v>
      </c>
      <c r="N70">
        <v>2</v>
      </c>
      <c r="O70">
        <v>2</v>
      </c>
      <c r="P70">
        <v>0</v>
      </c>
      <c r="Q70">
        <v>2</v>
      </c>
      <c r="R70">
        <v>2</v>
      </c>
      <c r="S70">
        <v>0</v>
      </c>
      <c r="T70">
        <v>0</v>
      </c>
      <c r="U70">
        <v>0</v>
      </c>
      <c r="V70">
        <v>5</v>
      </c>
      <c r="W70">
        <v>0</v>
      </c>
      <c r="X70">
        <v>8</v>
      </c>
      <c r="Y70">
        <v>2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1</v>
      </c>
      <c r="AL70">
        <v>0</v>
      </c>
      <c r="AM70">
        <v>0</v>
      </c>
      <c r="AN70">
        <v>2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 outlineLevel="1">
      <c r="A71" s="5" t="s">
        <v>180</v>
      </c>
      <c r="B71" s="15">
        <f t="shared" si="2"/>
        <v>21</v>
      </c>
      <c r="C71" s="16">
        <f t="shared" si="3"/>
        <v>0.4375</v>
      </c>
      <c r="D71">
        <v>0</v>
      </c>
      <c r="E71">
        <v>5</v>
      </c>
      <c r="F71">
        <v>0</v>
      </c>
      <c r="G71">
        <v>0</v>
      </c>
      <c r="H71">
        <v>0</v>
      </c>
      <c r="I71" s="37">
        <v>0</v>
      </c>
      <c r="J71">
        <v>0</v>
      </c>
      <c r="K71">
        <v>0</v>
      </c>
      <c r="L71">
        <v>3</v>
      </c>
      <c r="M71">
        <v>0</v>
      </c>
      <c r="N71">
        <v>0</v>
      </c>
      <c r="O71">
        <v>0</v>
      </c>
      <c r="P71">
        <v>2</v>
      </c>
      <c r="Q71">
        <v>0</v>
      </c>
      <c r="R71">
        <v>4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4</v>
      </c>
      <c r="AC71">
        <v>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 outlineLevel="1">
      <c r="A72" s="5" t="s">
        <v>181</v>
      </c>
      <c r="B72" s="15">
        <f t="shared" si="2"/>
        <v>14</v>
      </c>
      <c r="C72" s="16">
        <f t="shared" si="3"/>
        <v>0.29166666666666669</v>
      </c>
      <c r="D72">
        <v>0</v>
      </c>
      <c r="E72">
        <v>0</v>
      </c>
      <c r="F72">
        <v>0</v>
      </c>
      <c r="G72">
        <v>0</v>
      </c>
      <c r="H72">
        <v>0</v>
      </c>
      <c r="I72" s="37">
        <v>0</v>
      </c>
      <c r="J72">
        <v>0</v>
      </c>
      <c r="K72">
        <v>0</v>
      </c>
      <c r="L72">
        <v>8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4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2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</row>
    <row r="73" spans="1:51" outlineLevel="1">
      <c r="A73" s="5" t="s">
        <v>194</v>
      </c>
      <c r="B73" s="15">
        <f t="shared" si="2"/>
        <v>14</v>
      </c>
      <c r="C73" s="16">
        <f t="shared" si="3"/>
        <v>0.29166666666666669</v>
      </c>
      <c r="D73">
        <v>1</v>
      </c>
      <c r="E73">
        <v>0</v>
      </c>
      <c r="F73">
        <v>0</v>
      </c>
      <c r="G73">
        <v>0</v>
      </c>
      <c r="H73">
        <v>0</v>
      </c>
      <c r="I73" s="37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3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2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2</v>
      </c>
      <c r="AM73">
        <v>0</v>
      </c>
      <c r="AN73">
        <v>0</v>
      </c>
      <c r="AO73">
        <v>1</v>
      </c>
      <c r="AP73">
        <v>0</v>
      </c>
      <c r="AQ73">
        <v>2</v>
      </c>
      <c r="AR73">
        <v>0</v>
      </c>
      <c r="AS73">
        <v>1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</row>
    <row r="74" spans="1:51" outlineLevel="1">
      <c r="A74" s="5" t="s">
        <v>207</v>
      </c>
      <c r="B74" s="15">
        <f t="shared" si="2"/>
        <v>14</v>
      </c>
      <c r="C74" s="16">
        <f t="shared" si="3"/>
        <v>0.29166666666666669</v>
      </c>
      <c r="D74">
        <v>0</v>
      </c>
      <c r="E74">
        <v>5</v>
      </c>
      <c r="F74">
        <v>0</v>
      </c>
      <c r="G74">
        <v>0</v>
      </c>
      <c r="H74">
        <v>0</v>
      </c>
      <c r="I74" s="37">
        <v>0</v>
      </c>
      <c r="J74">
        <v>0</v>
      </c>
      <c r="K74">
        <v>0</v>
      </c>
      <c r="L74">
        <v>5</v>
      </c>
      <c r="M74">
        <v>0</v>
      </c>
      <c r="N74">
        <v>0</v>
      </c>
      <c r="O74">
        <v>0</v>
      </c>
      <c r="P74">
        <v>2</v>
      </c>
      <c r="Q74">
        <v>0</v>
      </c>
      <c r="R74">
        <v>2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 outlineLevel="1">
      <c r="A75" s="5" t="s">
        <v>197</v>
      </c>
      <c r="B75" s="15">
        <f t="shared" si="2"/>
        <v>6</v>
      </c>
      <c r="C75" s="16">
        <f t="shared" si="3"/>
        <v>0.125</v>
      </c>
      <c r="D75">
        <v>2</v>
      </c>
      <c r="E75">
        <v>0</v>
      </c>
      <c r="F75">
        <v>0</v>
      </c>
      <c r="G75">
        <v>0</v>
      </c>
      <c r="H75">
        <v>0</v>
      </c>
      <c r="I75" s="37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0</v>
      </c>
      <c r="T75">
        <v>0</v>
      </c>
      <c r="U75">
        <v>0</v>
      </c>
      <c r="V75">
        <v>0</v>
      </c>
      <c r="W75">
        <v>1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1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 outlineLevel="1">
      <c r="A76" s="5" t="s">
        <v>186</v>
      </c>
      <c r="B76" s="15">
        <f t="shared" si="2"/>
        <v>4</v>
      </c>
      <c r="C76" s="16">
        <f t="shared" si="3"/>
        <v>8.3333333333333329E-2</v>
      </c>
      <c r="D76">
        <v>0</v>
      </c>
      <c r="E76">
        <v>0</v>
      </c>
      <c r="F76">
        <v>0</v>
      </c>
      <c r="G76">
        <v>0</v>
      </c>
      <c r="H76">
        <v>0</v>
      </c>
      <c r="I76" s="37">
        <v>0</v>
      </c>
      <c r="J76">
        <v>0</v>
      </c>
      <c r="K76">
        <v>1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1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1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 outlineLevel="1">
      <c r="A77" s="14" t="s">
        <v>192</v>
      </c>
      <c r="B77" s="15">
        <f t="shared" si="2"/>
        <v>4</v>
      </c>
      <c r="C77" s="16">
        <f t="shared" si="3"/>
        <v>8.3333333333333329E-2</v>
      </c>
      <c r="D77">
        <v>0</v>
      </c>
      <c r="E77">
        <v>0</v>
      </c>
      <c r="F77">
        <v>0</v>
      </c>
      <c r="G77">
        <v>0</v>
      </c>
      <c r="H77">
        <v>0</v>
      </c>
      <c r="I77" s="3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4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</row>
    <row r="78" spans="1:51" outlineLevel="1">
      <c r="A78" s="5" t="s">
        <v>195</v>
      </c>
      <c r="B78" s="15">
        <f t="shared" si="2"/>
        <v>2</v>
      </c>
      <c r="C78" s="16">
        <f t="shared" si="3"/>
        <v>4.1666666666666664E-2</v>
      </c>
      <c r="D78">
        <v>0</v>
      </c>
      <c r="E78">
        <v>0</v>
      </c>
      <c r="F78">
        <v>0</v>
      </c>
      <c r="G78">
        <v>0</v>
      </c>
      <c r="H78">
        <v>0</v>
      </c>
      <c r="I78" s="37">
        <v>0</v>
      </c>
      <c r="J78">
        <v>0</v>
      </c>
      <c r="K78">
        <v>0</v>
      </c>
      <c r="L78">
        <v>0</v>
      </c>
      <c r="M78">
        <v>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</row>
    <row r="79" spans="1:51" outlineLevel="1">
      <c r="A79" s="5" t="s">
        <v>178</v>
      </c>
      <c r="B79" s="15">
        <f t="shared" si="2"/>
        <v>1</v>
      </c>
      <c r="C79" s="16">
        <f t="shared" si="3"/>
        <v>2.0833333333333332E-2</v>
      </c>
      <c r="D79">
        <v>0</v>
      </c>
      <c r="E79">
        <v>0</v>
      </c>
      <c r="F79">
        <v>0</v>
      </c>
      <c r="G79">
        <v>0</v>
      </c>
      <c r="H79">
        <v>0</v>
      </c>
      <c r="I79" s="37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1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</row>
    <row r="80" spans="1:51" outlineLevel="1">
      <c r="A80" s="5" t="s">
        <v>183</v>
      </c>
      <c r="B80" s="15">
        <f t="shared" si="2"/>
        <v>1</v>
      </c>
      <c r="C80" s="16">
        <f t="shared" si="3"/>
        <v>2.0833333333333332E-2</v>
      </c>
      <c r="D80">
        <v>0</v>
      </c>
      <c r="E80">
        <v>0</v>
      </c>
      <c r="F80">
        <v>0</v>
      </c>
      <c r="G80">
        <v>0</v>
      </c>
      <c r="H80">
        <v>0</v>
      </c>
      <c r="I80" s="37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1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</row>
    <row r="81" spans="1:51" outlineLevel="1">
      <c r="A81" s="5" t="s">
        <v>205</v>
      </c>
      <c r="B81" s="15">
        <f t="shared" si="2"/>
        <v>1</v>
      </c>
      <c r="C81" s="16">
        <f t="shared" si="3"/>
        <v>2.0833333333333332E-2</v>
      </c>
      <c r="D81">
        <v>0</v>
      </c>
      <c r="E81">
        <v>0</v>
      </c>
      <c r="F81">
        <v>0</v>
      </c>
      <c r="G81">
        <v>0</v>
      </c>
      <c r="H81">
        <v>0</v>
      </c>
      <c r="I81" s="37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 outlineLevel="1">
      <c r="A82" s="5" t="s">
        <v>190</v>
      </c>
      <c r="B82" s="15">
        <f t="shared" si="2"/>
        <v>0</v>
      </c>
      <c r="C82" s="16">
        <f t="shared" si="3"/>
        <v>0</v>
      </c>
      <c r="D82">
        <v>0</v>
      </c>
      <c r="E82">
        <v>0</v>
      </c>
      <c r="F82">
        <v>0</v>
      </c>
      <c r="G82">
        <v>0</v>
      </c>
      <c r="H82">
        <v>0</v>
      </c>
      <c r="I82" s="37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 outlineLevel="1">
      <c r="A83" s="5" t="s">
        <v>191</v>
      </c>
      <c r="B83" s="15">
        <f t="shared" si="2"/>
        <v>0</v>
      </c>
      <c r="C83" s="16">
        <f t="shared" si="3"/>
        <v>0</v>
      </c>
      <c r="D83">
        <v>0</v>
      </c>
      <c r="E83">
        <v>0</v>
      </c>
      <c r="F83">
        <v>0</v>
      </c>
      <c r="G83">
        <v>0</v>
      </c>
      <c r="H83">
        <v>0</v>
      </c>
      <c r="I83" s="37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</row>
    <row r="84" spans="1:51" outlineLevel="1">
      <c r="A84" s="5" t="s">
        <v>204</v>
      </c>
      <c r="B84" s="15">
        <f t="shared" si="2"/>
        <v>0</v>
      </c>
      <c r="C84" s="16">
        <f t="shared" si="3"/>
        <v>0</v>
      </c>
      <c r="D84">
        <v>0</v>
      </c>
      <c r="E84">
        <v>0</v>
      </c>
      <c r="F84">
        <v>0</v>
      </c>
      <c r="G84">
        <v>0</v>
      </c>
      <c r="H84">
        <v>0</v>
      </c>
      <c r="I84" s="37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</row>
    <row r="85" spans="1:51" outlineLevel="1">
      <c r="A85" s="5" t="s">
        <v>203</v>
      </c>
      <c r="B85" s="15">
        <f t="shared" si="2"/>
        <v>0</v>
      </c>
      <c r="C85" s="16">
        <f t="shared" si="3"/>
        <v>0</v>
      </c>
      <c r="D85">
        <v>0</v>
      </c>
      <c r="E85">
        <v>0</v>
      </c>
      <c r="F85">
        <v>0</v>
      </c>
      <c r="G85">
        <v>0</v>
      </c>
      <c r="H85">
        <v>0</v>
      </c>
      <c r="I85" s="37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 outlineLevel="1">
      <c r="A86" s="5" t="s">
        <v>202</v>
      </c>
      <c r="B86" s="15">
        <f t="shared" si="2"/>
        <v>0</v>
      </c>
      <c r="C86" s="16">
        <f t="shared" si="3"/>
        <v>0</v>
      </c>
      <c r="D86">
        <v>0</v>
      </c>
      <c r="E86">
        <v>0</v>
      </c>
      <c r="F86">
        <v>0</v>
      </c>
      <c r="G86">
        <v>0</v>
      </c>
      <c r="H86">
        <v>0</v>
      </c>
      <c r="I86" s="37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 outlineLevel="1">
      <c r="A87" s="5" t="s">
        <v>201</v>
      </c>
      <c r="B87" s="15">
        <f t="shared" si="2"/>
        <v>0</v>
      </c>
      <c r="C87" s="16">
        <f t="shared" si="3"/>
        <v>0</v>
      </c>
      <c r="D87">
        <v>0</v>
      </c>
      <c r="E87">
        <v>0</v>
      </c>
      <c r="F87">
        <v>0</v>
      </c>
      <c r="G87">
        <v>0</v>
      </c>
      <c r="H87">
        <v>0</v>
      </c>
      <c r="I87" s="3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 outlineLevel="1">
      <c r="A88" s="5" t="s">
        <v>200</v>
      </c>
      <c r="B88" s="15">
        <f t="shared" si="2"/>
        <v>0</v>
      </c>
      <c r="C88" s="16">
        <f t="shared" si="3"/>
        <v>0</v>
      </c>
      <c r="D88">
        <v>0</v>
      </c>
      <c r="E88">
        <v>0</v>
      </c>
      <c r="F88">
        <v>0</v>
      </c>
      <c r="G88">
        <v>0</v>
      </c>
      <c r="H88">
        <v>0</v>
      </c>
      <c r="I88" s="37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 outlineLevel="1">
      <c r="A89" s="5" t="s">
        <v>199</v>
      </c>
      <c r="B89" s="15">
        <f t="shared" si="2"/>
        <v>0</v>
      </c>
      <c r="C89" s="16">
        <f t="shared" si="3"/>
        <v>0</v>
      </c>
      <c r="D89">
        <v>0</v>
      </c>
      <c r="E89">
        <v>0</v>
      </c>
      <c r="F89">
        <v>0</v>
      </c>
      <c r="G89">
        <v>0</v>
      </c>
      <c r="H89">
        <v>0</v>
      </c>
      <c r="I89" s="37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</row>
    <row r="90" spans="1:51" outlineLevel="1">
      <c r="A90" s="5" t="s">
        <v>198</v>
      </c>
      <c r="B90" s="15">
        <f t="shared" si="2"/>
        <v>0</v>
      </c>
      <c r="C90" s="16">
        <f t="shared" si="3"/>
        <v>0</v>
      </c>
      <c r="D90">
        <v>0</v>
      </c>
      <c r="E90">
        <v>0</v>
      </c>
      <c r="F90">
        <v>0</v>
      </c>
      <c r="G90">
        <v>0</v>
      </c>
      <c r="H90">
        <v>0</v>
      </c>
      <c r="I90" s="37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</row>
    <row r="91" spans="1:51" outlineLevel="1">
      <c r="A91" s="5" t="s">
        <v>177</v>
      </c>
      <c r="B91" s="15">
        <f t="shared" si="2"/>
        <v>0</v>
      </c>
      <c r="C91" s="16">
        <f t="shared" si="3"/>
        <v>0</v>
      </c>
      <c r="D91">
        <v>0</v>
      </c>
      <c r="E91">
        <v>0</v>
      </c>
      <c r="F91">
        <v>0</v>
      </c>
      <c r="G91">
        <v>0</v>
      </c>
      <c r="H91">
        <v>0</v>
      </c>
      <c r="I91" s="37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</row>
    <row r="92" spans="1:51" outlineLevel="1">
      <c r="A92" s="5" t="s">
        <v>179</v>
      </c>
      <c r="B92" s="15">
        <f t="shared" si="2"/>
        <v>0</v>
      </c>
      <c r="C92" s="16">
        <f t="shared" si="3"/>
        <v>0</v>
      </c>
      <c r="D92">
        <v>0</v>
      </c>
      <c r="E92">
        <v>0</v>
      </c>
      <c r="F92">
        <v>0</v>
      </c>
      <c r="G92">
        <v>0</v>
      </c>
      <c r="H92">
        <v>0</v>
      </c>
      <c r="I92" s="37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</row>
    <row r="93" spans="1:51" outlineLevel="1">
      <c r="A93" s="5" t="s">
        <v>182</v>
      </c>
      <c r="B93" s="15">
        <f t="shared" si="2"/>
        <v>0</v>
      </c>
      <c r="C93" s="16">
        <f t="shared" si="3"/>
        <v>0</v>
      </c>
      <c r="D93">
        <v>0</v>
      </c>
      <c r="E93">
        <v>0</v>
      </c>
      <c r="F93">
        <v>0</v>
      </c>
      <c r="G93">
        <v>0</v>
      </c>
      <c r="H93">
        <v>0</v>
      </c>
      <c r="I93" s="37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</row>
    <row r="94" spans="1:51" outlineLevel="1">
      <c r="A94" s="5" t="s">
        <v>196</v>
      </c>
      <c r="B94" s="15">
        <f t="shared" si="2"/>
        <v>0</v>
      </c>
      <c r="C94" s="16">
        <f t="shared" si="3"/>
        <v>0</v>
      </c>
      <c r="D94">
        <v>0</v>
      </c>
      <c r="E94">
        <v>0</v>
      </c>
      <c r="F94">
        <v>0</v>
      </c>
      <c r="G94">
        <v>0</v>
      </c>
      <c r="H94">
        <v>0</v>
      </c>
      <c r="I94" s="37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</row>
    <row r="95" spans="1:51" outlineLevel="1">
      <c r="A95" s="5" t="s">
        <v>184</v>
      </c>
      <c r="B95" s="15">
        <f t="shared" si="2"/>
        <v>0</v>
      </c>
      <c r="C95" s="16">
        <f t="shared" si="3"/>
        <v>0</v>
      </c>
      <c r="D95">
        <v>0</v>
      </c>
      <c r="E95">
        <v>0</v>
      </c>
      <c r="F95">
        <v>0</v>
      </c>
      <c r="G95">
        <v>0</v>
      </c>
      <c r="H95">
        <v>0</v>
      </c>
      <c r="I95" s="37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</row>
    <row r="96" spans="1:51" outlineLevel="1">
      <c r="A96" s="5" t="s">
        <v>193</v>
      </c>
      <c r="B96" s="15">
        <f t="shared" si="2"/>
        <v>0</v>
      </c>
      <c r="C96" s="16">
        <f t="shared" si="3"/>
        <v>0</v>
      </c>
      <c r="D96">
        <v>0</v>
      </c>
      <c r="E96">
        <v>0</v>
      </c>
      <c r="F96">
        <v>0</v>
      </c>
      <c r="G96">
        <v>0</v>
      </c>
      <c r="H96">
        <v>0</v>
      </c>
      <c r="I96" s="37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</row>
    <row r="97" spans="1:51" outlineLevel="1">
      <c r="A97" s="5" t="s">
        <v>185</v>
      </c>
      <c r="B97" s="15">
        <f t="shared" si="2"/>
        <v>0</v>
      </c>
      <c r="C97" s="16">
        <f t="shared" si="3"/>
        <v>0</v>
      </c>
      <c r="D97">
        <v>0</v>
      </c>
      <c r="E97">
        <v>0</v>
      </c>
      <c r="F97">
        <v>0</v>
      </c>
      <c r="G97">
        <v>0</v>
      </c>
      <c r="H97">
        <v>0</v>
      </c>
      <c r="I97" s="3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</row>
    <row r="98" spans="1:51" outlineLevel="1">
      <c r="A98" s="5" t="s">
        <v>187</v>
      </c>
      <c r="B98" s="15">
        <f t="shared" si="2"/>
        <v>0</v>
      </c>
      <c r="C98" s="16">
        <f t="shared" si="3"/>
        <v>0</v>
      </c>
      <c r="D98">
        <v>0</v>
      </c>
      <c r="E98">
        <v>0</v>
      </c>
      <c r="F98">
        <v>0</v>
      </c>
      <c r="G98">
        <v>0</v>
      </c>
      <c r="H98">
        <v>0</v>
      </c>
      <c r="I98" s="37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</row>
    <row r="99" spans="1:51" outlineLevel="1">
      <c r="A99" s="5" t="s">
        <v>188</v>
      </c>
      <c r="B99" s="15">
        <f t="shared" si="2"/>
        <v>0</v>
      </c>
      <c r="C99" s="16">
        <f t="shared" si="3"/>
        <v>0</v>
      </c>
      <c r="D99">
        <v>0</v>
      </c>
      <c r="E99">
        <v>0</v>
      </c>
      <c r="F99">
        <v>0</v>
      </c>
      <c r="G99">
        <v>0</v>
      </c>
      <c r="H99">
        <v>0</v>
      </c>
      <c r="I99" s="37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</row>
    <row r="100" spans="1:51" outlineLevel="1">
      <c r="A100" s="5" t="s">
        <v>189</v>
      </c>
      <c r="B100" s="15">
        <f t="shared" si="2"/>
        <v>0</v>
      </c>
      <c r="C100" s="16">
        <f t="shared" si="3"/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 s="37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</row>
    <row r="101" spans="1:51" outlineLevel="1">
      <c r="A101" s="5" t="s">
        <v>206</v>
      </c>
      <c r="B101" s="15">
        <f t="shared" si="2"/>
        <v>0</v>
      </c>
      <c r="C101" s="16">
        <f t="shared" si="3"/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 s="37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</row>
    <row r="102" spans="1:51" outlineLevel="1">
      <c r="A102" s="5" t="s">
        <v>209</v>
      </c>
      <c r="B102" s="15">
        <f t="shared" si="2"/>
        <v>0</v>
      </c>
      <c r="C102" s="16">
        <f t="shared" si="3"/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 s="37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</row>
    <row r="103" spans="1:51" outlineLevel="1">
      <c r="A103" s="5" t="s">
        <v>210</v>
      </c>
      <c r="B103" s="15">
        <f t="shared" si="2"/>
        <v>0</v>
      </c>
      <c r="C103" s="16">
        <f t="shared" si="3"/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s="37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</row>
    <row r="104" spans="1:51" s="25" customFormat="1" ht="19.5">
      <c r="A104" s="28" t="s">
        <v>211</v>
      </c>
      <c r="B104" s="26">
        <f t="shared" si="2"/>
        <v>102</v>
      </c>
      <c r="C104" s="27">
        <f t="shared" si="3"/>
        <v>2.125</v>
      </c>
      <c r="D104" s="25">
        <f>SUM(D105:D179)</f>
        <v>2</v>
      </c>
      <c r="E104" s="25">
        <f>SUM(E105:E179)</f>
        <v>8</v>
      </c>
      <c r="F104" s="25">
        <f>SUM(F105:F179)</f>
        <v>7</v>
      </c>
      <c r="G104" s="25">
        <f>SUM(G105:G179)</f>
        <v>1</v>
      </c>
      <c r="H104" s="25">
        <f>SUM(H105:H179)</f>
        <v>0</v>
      </c>
      <c r="I104" s="35">
        <f>SUM(I105:I179)</f>
        <v>16</v>
      </c>
      <c r="J104" s="25">
        <f>SUM(J105:J179)</f>
        <v>6</v>
      </c>
      <c r="K104" s="25">
        <f>SUM(K105:K179)</f>
        <v>7</v>
      </c>
      <c r="L104" s="25">
        <f>SUM(L105:L179)</f>
        <v>4</v>
      </c>
      <c r="M104" s="25">
        <f>SUM(M105:M179)</f>
        <v>3</v>
      </c>
      <c r="N104" s="25">
        <f>SUM(N105:N179)</f>
        <v>6</v>
      </c>
      <c r="O104" s="25">
        <f>SUM(O105:O179)</f>
        <v>3</v>
      </c>
      <c r="P104" s="25">
        <f>SUM(P105:P179)</f>
        <v>6</v>
      </c>
      <c r="Q104" s="25">
        <f>SUM(Q105:Q179)</f>
        <v>9</v>
      </c>
      <c r="R104" s="25">
        <f>SUM(R105:R179)</f>
        <v>0</v>
      </c>
      <c r="S104" s="25">
        <f>SUM(S105:S179)</f>
        <v>0</v>
      </c>
      <c r="T104" s="25">
        <f>SUM(T105:T179)</f>
        <v>0</v>
      </c>
      <c r="U104" s="25">
        <f>SUM(U105:U179)</f>
        <v>4</v>
      </c>
      <c r="V104" s="25">
        <f>SUM(V105:V179)</f>
        <v>5</v>
      </c>
      <c r="W104" s="25">
        <f>SUM(W105:W179)</f>
        <v>0</v>
      </c>
      <c r="X104" s="25">
        <f>SUM(X105:X179)</f>
        <v>0</v>
      </c>
      <c r="Y104" s="25">
        <f>SUM(Y105:Y179)</f>
        <v>2</v>
      </c>
      <c r="Z104" s="25">
        <f>SUM(Z105:Z179)</f>
        <v>0</v>
      </c>
      <c r="AA104" s="25">
        <f>SUM(AA105:AA179)</f>
        <v>2</v>
      </c>
      <c r="AB104" s="25">
        <f>SUM(AB105:AB179)</f>
        <v>0</v>
      </c>
      <c r="AC104" s="25">
        <f>SUM(AC105:AC179)</f>
        <v>0</v>
      </c>
      <c r="AD104" s="25">
        <f>SUM(AD105:AD179)</f>
        <v>0</v>
      </c>
      <c r="AE104" s="25">
        <f>SUM(AE105:AE179)</f>
        <v>0</v>
      </c>
      <c r="AF104" s="25">
        <f>SUM(AF105:AF179)</f>
        <v>0</v>
      </c>
      <c r="AG104" s="25">
        <f>SUM(AG105:AG179)</f>
        <v>2</v>
      </c>
      <c r="AH104" s="25">
        <f>SUM(AH105:AH179)</f>
        <v>5</v>
      </c>
      <c r="AI104" s="25">
        <f>SUM(AI105:AI179)</f>
        <v>0</v>
      </c>
      <c r="AJ104" s="25">
        <f>SUM(AJ105:AJ179)</f>
        <v>3</v>
      </c>
      <c r="AK104" s="25">
        <f>SUM(AK105:AK179)</f>
        <v>1</v>
      </c>
      <c r="AL104" s="25">
        <f>SUM(AL105:AL179)</f>
        <v>0</v>
      </c>
      <c r="AM104" s="25">
        <f>SUM(AM105:AM179)</f>
        <v>0</v>
      </c>
      <c r="AN104" s="25">
        <f>SUM(AN105:AN179)</f>
        <v>0</v>
      </c>
      <c r="AO104" s="25">
        <f>SUM(AO105:AO179)</f>
        <v>0</v>
      </c>
      <c r="AP104" s="25">
        <f>SUM(AP105:AP179)</f>
        <v>0</v>
      </c>
      <c r="AQ104" s="25">
        <f>SUM(AQ105:AQ179)</f>
        <v>0</v>
      </c>
      <c r="AR104" s="25">
        <f>SUM(AR105:AR179)</f>
        <v>0</v>
      </c>
      <c r="AS104" s="25">
        <f>SUM(AS105:AS179)</f>
        <v>0</v>
      </c>
      <c r="AT104" s="25">
        <f>SUM(AT105:AT179)</f>
        <v>0</v>
      </c>
      <c r="AU104" s="25">
        <f>SUM(AU105:AU179)</f>
        <v>0</v>
      </c>
      <c r="AV104" s="25">
        <f>SUM(AV105:AV179)</f>
        <v>0</v>
      </c>
      <c r="AW104" s="25">
        <f>SUM(AW105:AW179)</f>
        <v>0</v>
      </c>
      <c r="AX104" s="25">
        <f>SUM(AX105:AX179)</f>
        <v>0</v>
      </c>
      <c r="AY104" s="25">
        <f>SUM(AY105:AY179)</f>
        <v>0</v>
      </c>
    </row>
    <row r="105" spans="1:51" hidden="1" outlineLevel="1">
      <c r="A105" s="5" t="s">
        <v>268</v>
      </c>
      <c r="B105" s="15">
        <f t="shared" si="2"/>
        <v>60</v>
      </c>
      <c r="C105" s="16">
        <f t="shared" si="3"/>
        <v>1.25</v>
      </c>
      <c r="D105">
        <v>0</v>
      </c>
      <c r="E105">
        <v>8</v>
      </c>
      <c r="F105">
        <v>7</v>
      </c>
      <c r="G105">
        <v>0</v>
      </c>
      <c r="H105">
        <v>0</v>
      </c>
      <c r="I105" s="37">
        <v>3</v>
      </c>
      <c r="J105">
        <v>2</v>
      </c>
      <c r="K105">
        <v>0</v>
      </c>
      <c r="L105">
        <v>2</v>
      </c>
      <c r="M105">
        <v>2</v>
      </c>
      <c r="N105">
        <v>5</v>
      </c>
      <c r="O105">
        <v>3</v>
      </c>
      <c r="P105">
        <v>2</v>
      </c>
      <c r="Q105">
        <v>5</v>
      </c>
      <c r="R105">
        <v>0</v>
      </c>
      <c r="S105">
        <v>0</v>
      </c>
      <c r="T105">
        <v>0</v>
      </c>
      <c r="U105">
        <v>4</v>
      </c>
      <c r="V105">
        <v>5</v>
      </c>
      <c r="W105">
        <v>0</v>
      </c>
      <c r="X105">
        <v>0</v>
      </c>
      <c r="Y105">
        <v>2</v>
      </c>
      <c r="Z105">
        <v>0</v>
      </c>
      <c r="AA105">
        <v>2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2</v>
      </c>
      <c r="AH105">
        <v>3</v>
      </c>
      <c r="AI105">
        <v>0</v>
      </c>
      <c r="AJ105">
        <v>3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</row>
    <row r="106" spans="1:51" hidden="1" outlineLevel="1">
      <c r="A106" s="5" t="s">
        <v>264</v>
      </c>
      <c r="B106" s="15">
        <f t="shared" si="2"/>
        <v>13</v>
      </c>
      <c r="C106" s="16">
        <f t="shared" si="3"/>
        <v>0.27083333333333331</v>
      </c>
      <c r="D106">
        <v>0</v>
      </c>
      <c r="E106">
        <v>0</v>
      </c>
      <c r="F106">
        <v>0</v>
      </c>
      <c r="G106">
        <v>0</v>
      </c>
      <c r="H106">
        <v>0</v>
      </c>
      <c r="I106" s="37">
        <v>1</v>
      </c>
      <c r="J106">
        <v>4</v>
      </c>
      <c r="K106">
        <v>0</v>
      </c>
      <c r="L106">
        <v>0</v>
      </c>
      <c r="M106">
        <v>0</v>
      </c>
      <c r="N106">
        <v>1</v>
      </c>
      <c r="O106">
        <v>0</v>
      </c>
      <c r="P106">
        <v>4</v>
      </c>
      <c r="Q106">
        <v>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2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</row>
    <row r="107" spans="1:51" hidden="1" outlineLevel="1">
      <c r="A107" s="5" t="s">
        <v>267</v>
      </c>
      <c r="B107" s="15">
        <f t="shared" si="2"/>
        <v>13</v>
      </c>
      <c r="C107" s="16">
        <f t="shared" si="3"/>
        <v>0.27083333333333331</v>
      </c>
      <c r="D107">
        <v>2</v>
      </c>
      <c r="E107">
        <v>0</v>
      </c>
      <c r="F107">
        <v>0</v>
      </c>
      <c r="G107">
        <v>0</v>
      </c>
      <c r="H107">
        <v>0</v>
      </c>
      <c r="I107" s="37">
        <v>5</v>
      </c>
      <c r="J107">
        <v>0</v>
      </c>
      <c r="K107">
        <v>4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1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</row>
    <row r="108" spans="1:51" hidden="1" outlineLevel="1">
      <c r="A108" s="5" t="s">
        <v>263</v>
      </c>
      <c r="B108" s="15">
        <f t="shared" si="2"/>
        <v>7</v>
      </c>
      <c r="C108" s="16">
        <f t="shared" si="3"/>
        <v>0.14583333333333334</v>
      </c>
      <c r="D108">
        <v>0</v>
      </c>
      <c r="E108">
        <v>0</v>
      </c>
      <c r="F108">
        <v>0</v>
      </c>
      <c r="G108">
        <v>0</v>
      </c>
      <c r="H108">
        <v>0</v>
      </c>
      <c r="I108" s="37">
        <v>7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</row>
    <row r="109" spans="1:51" hidden="1" outlineLevel="1">
      <c r="A109" s="5" t="s">
        <v>248</v>
      </c>
      <c r="B109" s="15">
        <f t="shared" si="2"/>
        <v>3</v>
      </c>
      <c r="C109" s="16">
        <f t="shared" si="3"/>
        <v>6.25E-2</v>
      </c>
      <c r="D109">
        <v>0</v>
      </c>
      <c r="E109">
        <v>0</v>
      </c>
      <c r="F109">
        <v>0</v>
      </c>
      <c r="G109">
        <v>0</v>
      </c>
      <c r="H109">
        <v>0</v>
      </c>
      <c r="I109" s="37">
        <v>0</v>
      </c>
      <c r="J109">
        <v>0</v>
      </c>
      <c r="K109">
        <v>2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</row>
    <row r="110" spans="1:51" hidden="1" outlineLevel="1">
      <c r="A110" s="5" t="s">
        <v>265</v>
      </c>
      <c r="B110" s="15">
        <f t="shared" si="2"/>
        <v>3</v>
      </c>
      <c r="C110" s="16">
        <f t="shared" si="3"/>
        <v>6.25E-2</v>
      </c>
      <c r="D110">
        <v>0</v>
      </c>
      <c r="E110">
        <v>0</v>
      </c>
      <c r="F110">
        <v>0</v>
      </c>
      <c r="G110">
        <v>0</v>
      </c>
      <c r="H110">
        <v>0</v>
      </c>
      <c r="I110" s="37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2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</row>
    <row r="111" spans="1:51" hidden="1" outlineLevel="1">
      <c r="A111" s="5" t="s">
        <v>253</v>
      </c>
      <c r="B111" s="15">
        <f t="shared" si="2"/>
        <v>1</v>
      </c>
      <c r="C111" s="16">
        <f t="shared" si="3"/>
        <v>2.0833333333333332E-2</v>
      </c>
      <c r="D111">
        <v>0</v>
      </c>
      <c r="E111">
        <v>0</v>
      </c>
      <c r="F111">
        <v>0</v>
      </c>
      <c r="G111">
        <v>0</v>
      </c>
      <c r="H111">
        <v>0</v>
      </c>
      <c r="I111" s="37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</row>
    <row r="112" spans="1:51" hidden="1" outlineLevel="1">
      <c r="A112" s="5" t="s">
        <v>262</v>
      </c>
      <c r="B112" s="15">
        <f t="shared" si="2"/>
        <v>1</v>
      </c>
      <c r="C112" s="16">
        <f t="shared" si="3"/>
        <v>2.0833333333333332E-2</v>
      </c>
      <c r="D112">
        <v>0</v>
      </c>
      <c r="E112">
        <v>0</v>
      </c>
      <c r="F112">
        <v>0</v>
      </c>
      <c r="G112">
        <v>0</v>
      </c>
      <c r="H112">
        <v>0</v>
      </c>
      <c r="I112" s="37">
        <v>0</v>
      </c>
      <c r="J112">
        <v>0</v>
      </c>
      <c r="K112">
        <v>0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</row>
    <row r="113" spans="1:51" hidden="1" outlineLevel="1">
      <c r="A113" s="5" t="s">
        <v>269</v>
      </c>
      <c r="B113" s="15">
        <f t="shared" si="2"/>
        <v>1</v>
      </c>
      <c r="C113" s="16">
        <f t="shared" si="3"/>
        <v>2.0833333333333332E-2</v>
      </c>
      <c r="D113">
        <v>0</v>
      </c>
      <c r="E113">
        <v>0</v>
      </c>
      <c r="F113">
        <v>0</v>
      </c>
      <c r="G113">
        <v>1</v>
      </c>
      <c r="H113">
        <v>0</v>
      </c>
      <c r="I113" s="37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</row>
    <row r="114" spans="1:51" hidden="1" outlineLevel="1">
      <c r="A114" s="5" t="s">
        <v>212</v>
      </c>
      <c r="B114" s="15">
        <f t="shared" si="2"/>
        <v>0</v>
      </c>
      <c r="C114" s="16">
        <f t="shared" si="3"/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s="37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</row>
    <row r="115" spans="1:51" hidden="1" outlineLevel="1">
      <c r="A115" s="5" t="s">
        <v>213</v>
      </c>
      <c r="B115" s="15">
        <f t="shared" si="2"/>
        <v>0</v>
      </c>
      <c r="C115" s="16">
        <f t="shared" si="3"/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 s="37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</row>
    <row r="116" spans="1:51" hidden="1" outlineLevel="1">
      <c r="A116" s="5" t="s">
        <v>214</v>
      </c>
      <c r="B116" s="15">
        <f t="shared" si="2"/>
        <v>0</v>
      </c>
      <c r="C116" s="16">
        <f t="shared" si="3"/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 s="37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</row>
    <row r="117" spans="1:51" hidden="1" outlineLevel="1">
      <c r="A117" s="5" t="s">
        <v>215</v>
      </c>
      <c r="B117" s="15">
        <f t="shared" si="2"/>
        <v>0</v>
      </c>
      <c r="C117" s="16">
        <f t="shared" si="3"/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s="3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</row>
    <row r="118" spans="1:51" hidden="1" outlineLevel="1">
      <c r="A118" s="5" t="s">
        <v>216</v>
      </c>
      <c r="B118" s="15">
        <f t="shared" si="2"/>
        <v>0</v>
      </c>
      <c r="C118" s="16">
        <f t="shared" si="3"/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 s="37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</row>
    <row r="119" spans="1:51" hidden="1" outlineLevel="1">
      <c r="A119" s="5" t="s">
        <v>217</v>
      </c>
      <c r="B119" s="15">
        <f t="shared" si="2"/>
        <v>0</v>
      </c>
      <c r="C119" s="16">
        <f t="shared" si="3"/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s="37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</row>
    <row r="120" spans="1:51" hidden="1" outlineLevel="1">
      <c r="A120" s="5" t="s">
        <v>218</v>
      </c>
      <c r="B120" s="15">
        <f t="shared" si="2"/>
        <v>0</v>
      </c>
      <c r="C120" s="16">
        <f t="shared" si="3"/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 s="37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</row>
    <row r="121" spans="1:51" hidden="1" outlineLevel="1">
      <c r="A121" s="5" t="s">
        <v>219</v>
      </c>
      <c r="B121" s="15">
        <f t="shared" si="2"/>
        <v>0</v>
      </c>
      <c r="C121" s="16">
        <f t="shared" si="3"/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s="37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</row>
    <row r="122" spans="1:51" hidden="1" outlineLevel="1">
      <c r="A122" s="5" t="s">
        <v>220</v>
      </c>
      <c r="B122" s="15">
        <f t="shared" si="2"/>
        <v>0</v>
      </c>
      <c r="C122" s="16">
        <f t="shared" si="3"/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 s="37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</row>
    <row r="123" spans="1:51" hidden="1" outlineLevel="1">
      <c r="A123" s="5" t="s">
        <v>221</v>
      </c>
      <c r="B123" s="15">
        <f t="shared" si="2"/>
        <v>0</v>
      </c>
      <c r="C123" s="16">
        <f t="shared" si="3"/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 s="37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</row>
    <row r="124" spans="1:51" hidden="1" outlineLevel="1">
      <c r="A124" s="5" t="s">
        <v>222</v>
      </c>
      <c r="B124" s="15">
        <f t="shared" si="2"/>
        <v>0</v>
      </c>
      <c r="C124" s="16">
        <f t="shared" si="3"/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 s="37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</row>
    <row r="125" spans="1:51" hidden="1" outlineLevel="1">
      <c r="A125" s="5" t="s">
        <v>223</v>
      </c>
      <c r="B125" s="15">
        <f t="shared" si="2"/>
        <v>0</v>
      </c>
      <c r="C125" s="16">
        <f t="shared" si="3"/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 s="37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</row>
    <row r="126" spans="1:51" hidden="1" outlineLevel="1">
      <c r="A126" s="5" t="s">
        <v>224</v>
      </c>
      <c r="B126" s="15">
        <f t="shared" si="2"/>
        <v>0</v>
      </c>
      <c r="C126" s="16">
        <f t="shared" si="3"/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s="37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</row>
    <row r="127" spans="1:51" hidden="1" outlineLevel="1">
      <c r="A127" s="5" t="s">
        <v>225</v>
      </c>
      <c r="B127" s="15">
        <f t="shared" si="2"/>
        <v>0</v>
      </c>
      <c r="C127" s="16">
        <f t="shared" si="3"/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s="3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</row>
    <row r="128" spans="1:51" hidden="1" outlineLevel="1">
      <c r="A128" s="5" t="s">
        <v>226</v>
      </c>
      <c r="B128" s="15">
        <f t="shared" si="2"/>
        <v>0</v>
      </c>
      <c r="C128" s="16">
        <f t="shared" si="3"/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 s="37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</row>
    <row r="129" spans="1:51" hidden="1" outlineLevel="1">
      <c r="A129" s="5" t="s">
        <v>227</v>
      </c>
      <c r="B129" s="15">
        <f t="shared" si="2"/>
        <v>0</v>
      </c>
      <c r="C129" s="16">
        <f t="shared" si="3"/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 s="37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</row>
    <row r="130" spans="1:51" hidden="1" outlineLevel="1">
      <c r="A130" s="5" t="s">
        <v>228</v>
      </c>
      <c r="B130" s="15">
        <f t="shared" ref="B130:B193" si="4">SUM(D130:AY130)</f>
        <v>0</v>
      </c>
      <c r="C130" s="16">
        <f t="shared" ref="C130:C193" si="5">AVERAGE(D130:AY130)</f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s="37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</row>
    <row r="131" spans="1:51" hidden="1" outlineLevel="1">
      <c r="A131" s="5" t="s">
        <v>229</v>
      </c>
      <c r="B131" s="15">
        <f t="shared" si="4"/>
        <v>0</v>
      </c>
      <c r="C131" s="16">
        <f t="shared" si="5"/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 s="37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</row>
    <row r="132" spans="1:51" hidden="1" outlineLevel="1">
      <c r="A132" s="5" t="s">
        <v>230</v>
      </c>
      <c r="B132" s="15">
        <f t="shared" si="4"/>
        <v>0</v>
      </c>
      <c r="C132" s="16">
        <f t="shared" si="5"/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s="37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</row>
    <row r="133" spans="1:51" hidden="1" outlineLevel="1">
      <c r="A133" s="5" t="s">
        <v>231</v>
      </c>
      <c r="B133" s="15">
        <f t="shared" si="4"/>
        <v>0</v>
      </c>
      <c r="C133" s="16">
        <f t="shared" si="5"/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 s="37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</row>
    <row r="134" spans="1:51" hidden="1" outlineLevel="1">
      <c r="A134" s="5" t="s">
        <v>232</v>
      </c>
      <c r="B134" s="15">
        <f t="shared" si="4"/>
        <v>0</v>
      </c>
      <c r="C134" s="16">
        <f t="shared" si="5"/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s="37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</row>
    <row r="135" spans="1:51" hidden="1" outlineLevel="1">
      <c r="A135" s="5" t="s">
        <v>233</v>
      </c>
      <c r="B135" s="15">
        <f t="shared" si="4"/>
        <v>0</v>
      </c>
      <c r="C135" s="16">
        <f t="shared" si="5"/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s="37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</row>
    <row r="136" spans="1:51" hidden="1" outlineLevel="1">
      <c r="A136" s="5" t="s">
        <v>234</v>
      </c>
      <c r="B136" s="15">
        <f t="shared" si="4"/>
        <v>0</v>
      </c>
      <c r="C136" s="16">
        <f t="shared" si="5"/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 s="37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</row>
    <row r="137" spans="1:51" hidden="1" outlineLevel="1">
      <c r="A137" s="5" t="s">
        <v>235</v>
      </c>
      <c r="B137" s="15">
        <f t="shared" si="4"/>
        <v>0</v>
      </c>
      <c r="C137" s="16">
        <f t="shared" si="5"/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s="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</row>
    <row r="138" spans="1:51" hidden="1" outlineLevel="1">
      <c r="A138" s="5" t="s">
        <v>236</v>
      </c>
      <c r="B138" s="15">
        <f t="shared" si="4"/>
        <v>0</v>
      </c>
      <c r="C138" s="16">
        <f t="shared" si="5"/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s="37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</row>
    <row r="139" spans="1:51" hidden="1" outlineLevel="1">
      <c r="A139" s="5" t="s">
        <v>237</v>
      </c>
      <c r="B139" s="15">
        <f t="shared" si="4"/>
        <v>0</v>
      </c>
      <c r="C139" s="16">
        <f t="shared" si="5"/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 s="37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</row>
    <row r="140" spans="1:51" hidden="1" outlineLevel="1">
      <c r="A140" s="5" t="s">
        <v>238</v>
      </c>
      <c r="B140" s="15">
        <f t="shared" si="4"/>
        <v>0</v>
      </c>
      <c r="C140" s="16">
        <f t="shared" si="5"/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 s="37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</row>
    <row r="141" spans="1:51" hidden="1" outlineLevel="1">
      <c r="A141" s="5" t="s">
        <v>239</v>
      </c>
      <c r="B141" s="15">
        <f t="shared" si="4"/>
        <v>0</v>
      </c>
      <c r="C141" s="16">
        <f t="shared" si="5"/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s="37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</row>
    <row r="142" spans="1:51" hidden="1" outlineLevel="1">
      <c r="A142" s="5" t="s">
        <v>240</v>
      </c>
      <c r="B142" s="15">
        <f t="shared" si="4"/>
        <v>0</v>
      </c>
      <c r="C142" s="16">
        <f t="shared" si="5"/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s="37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</row>
    <row r="143" spans="1:51" hidden="1" outlineLevel="1">
      <c r="A143" s="5" t="s">
        <v>241</v>
      </c>
      <c r="B143" s="15">
        <f t="shared" si="4"/>
        <v>0</v>
      </c>
      <c r="C143" s="16">
        <f t="shared" si="5"/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 s="37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</row>
    <row r="144" spans="1:51" hidden="1" outlineLevel="1">
      <c r="A144" s="5" t="s">
        <v>242</v>
      </c>
      <c r="B144" s="15">
        <f t="shared" si="4"/>
        <v>0</v>
      </c>
      <c r="C144" s="16">
        <f t="shared" si="5"/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s="37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</row>
    <row r="145" spans="1:51" hidden="1" outlineLevel="1">
      <c r="A145" s="5" t="s">
        <v>243</v>
      </c>
      <c r="B145" s="15">
        <f t="shared" si="4"/>
        <v>0</v>
      </c>
      <c r="C145" s="16">
        <f t="shared" si="5"/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s="37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</row>
    <row r="146" spans="1:51" hidden="1" outlineLevel="1">
      <c r="A146" s="5" t="s">
        <v>244</v>
      </c>
      <c r="B146" s="15">
        <f t="shared" si="4"/>
        <v>0</v>
      </c>
      <c r="C146" s="16">
        <f t="shared" si="5"/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 s="37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</row>
    <row r="147" spans="1:51" hidden="1" outlineLevel="1">
      <c r="A147" s="5" t="s">
        <v>245</v>
      </c>
      <c r="B147" s="15">
        <f t="shared" si="4"/>
        <v>0</v>
      </c>
      <c r="C147" s="16">
        <f t="shared" si="5"/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 s="3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</row>
    <row r="148" spans="1:51" hidden="1" outlineLevel="1">
      <c r="A148" s="5" t="s">
        <v>246</v>
      </c>
      <c r="B148" s="15">
        <f t="shared" si="4"/>
        <v>0</v>
      </c>
      <c r="C148" s="16">
        <f t="shared" si="5"/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 s="37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</row>
    <row r="149" spans="1:51" hidden="1" outlineLevel="1">
      <c r="A149" s="5" t="s">
        <v>247</v>
      </c>
      <c r="B149" s="15">
        <f t="shared" si="4"/>
        <v>0</v>
      </c>
      <c r="C149" s="16">
        <f t="shared" si="5"/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s="37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</row>
    <row r="150" spans="1:51" hidden="1" outlineLevel="1">
      <c r="A150" s="5" t="s">
        <v>249</v>
      </c>
      <c r="B150" s="15">
        <f t="shared" si="4"/>
        <v>0</v>
      </c>
      <c r="C150" s="16">
        <f t="shared" si="5"/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 s="37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</row>
    <row r="151" spans="1:51" hidden="1" outlineLevel="1">
      <c r="A151" s="5" t="s">
        <v>250</v>
      </c>
      <c r="B151" s="15">
        <f t="shared" si="4"/>
        <v>0</v>
      </c>
      <c r="C151" s="16">
        <f t="shared" si="5"/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s="37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</row>
    <row r="152" spans="1:51" hidden="1" outlineLevel="1">
      <c r="A152" s="5" t="s">
        <v>251</v>
      </c>
      <c r="B152" s="15">
        <f t="shared" si="4"/>
        <v>0</v>
      </c>
      <c r="C152" s="16">
        <f t="shared" si="5"/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s="37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</row>
    <row r="153" spans="1:51" hidden="1" outlineLevel="1">
      <c r="A153" s="5" t="s">
        <v>252</v>
      </c>
      <c r="B153" s="15">
        <f t="shared" si="4"/>
        <v>0</v>
      </c>
      <c r="C153" s="16">
        <f t="shared" si="5"/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s="37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</row>
    <row r="154" spans="1:51" hidden="1" outlineLevel="1">
      <c r="A154" s="5" t="s">
        <v>254</v>
      </c>
      <c r="B154" s="15">
        <f t="shared" si="4"/>
        <v>0</v>
      </c>
      <c r="C154" s="16">
        <f t="shared" si="5"/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 s="37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</row>
    <row r="155" spans="1:51" hidden="1" outlineLevel="1">
      <c r="A155" s="5" t="s">
        <v>255</v>
      </c>
      <c r="B155" s="15">
        <f t="shared" si="4"/>
        <v>0</v>
      </c>
      <c r="C155" s="16">
        <f t="shared" si="5"/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s="37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</row>
    <row r="156" spans="1:51" hidden="1" outlineLevel="1">
      <c r="A156" s="5" t="s">
        <v>256</v>
      </c>
      <c r="B156" s="15">
        <f t="shared" si="4"/>
        <v>0</v>
      </c>
      <c r="C156" s="16">
        <f t="shared" si="5"/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s="37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</row>
    <row r="157" spans="1:51" hidden="1" outlineLevel="1">
      <c r="A157" s="5" t="s">
        <v>257</v>
      </c>
      <c r="B157" s="15">
        <f t="shared" si="4"/>
        <v>0</v>
      </c>
      <c r="C157" s="16">
        <f t="shared" si="5"/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 s="3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</row>
    <row r="158" spans="1:51" hidden="1" outlineLevel="1">
      <c r="A158" s="5" t="s">
        <v>258</v>
      </c>
      <c r="B158" s="15">
        <f t="shared" si="4"/>
        <v>0</v>
      </c>
      <c r="C158" s="16">
        <f t="shared" si="5"/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 s="37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</row>
    <row r="159" spans="1:51" hidden="1" outlineLevel="1">
      <c r="A159" s="5" t="s">
        <v>259</v>
      </c>
      <c r="B159" s="15">
        <f t="shared" si="4"/>
        <v>0</v>
      </c>
      <c r="C159" s="16">
        <f t="shared" si="5"/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s="37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</row>
    <row r="160" spans="1:51" hidden="1" outlineLevel="1">
      <c r="A160" s="5" t="s">
        <v>260</v>
      </c>
      <c r="B160" s="15">
        <f t="shared" si="4"/>
        <v>0</v>
      </c>
      <c r="C160" s="16">
        <f t="shared" si="5"/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 s="37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</row>
    <row r="161" spans="1:51" hidden="1" outlineLevel="1">
      <c r="A161" s="5" t="s">
        <v>261</v>
      </c>
      <c r="B161" s="15">
        <f t="shared" si="4"/>
        <v>0</v>
      </c>
      <c r="C161" s="16">
        <f t="shared" si="5"/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s="37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</row>
    <row r="162" spans="1:51" hidden="1" outlineLevel="1">
      <c r="A162" s="5" t="s">
        <v>266</v>
      </c>
      <c r="B162" s="15">
        <f t="shared" si="4"/>
        <v>0</v>
      </c>
      <c r="C162" s="16">
        <f t="shared" si="5"/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s="37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</row>
    <row r="163" spans="1:51" hidden="1" outlineLevel="1">
      <c r="A163" s="5" t="s">
        <v>270</v>
      </c>
      <c r="B163" s="15">
        <f t="shared" si="4"/>
        <v>0</v>
      </c>
      <c r="C163" s="16">
        <f t="shared" si="5"/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 s="37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</row>
    <row r="164" spans="1:51" hidden="1" outlineLevel="1">
      <c r="A164" s="5" t="s">
        <v>271</v>
      </c>
      <c r="B164" s="15">
        <f t="shared" si="4"/>
        <v>0</v>
      </c>
      <c r="C164" s="16">
        <f t="shared" si="5"/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 s="37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</row>
    <row r="165" spans="1:51" hidden="1" outlineLevel="1">
      <c r="A165" s="5" t="s">
        <v>272</v>
      </c>
      <c r="B165" s="15">
        <f t="shared" si="4"/>
        <v>0</v>
      </c>
      <c r="C165" s="16">
        <f t="shared" si="5"/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s="37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</row>
    <row r="166" spans="1:51" hidden="1" outlineLevel="1">
      <c r="A166" s="5" t="s">
        <v>273</v>
      </c>
      <c r="B166" s="15">
        <f t="shared" si="4"/>
        <v>0</v>
      </c>
      <c r="C166" s="16">
        <f t="shared" si="5"/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s="37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</row>
    <row r="167" spans="1:51" hidden="1" outlineLevel="1">
      <c r="A167" s="5" t="s">
        <v>274</v>
      </c>
      <c r="B167" s="15">
        <f t="shared" si="4"/>
        <v>0</v>
      </c>
      <c r="C167" s="16">
        <f t="shared" si="5"/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s="3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</row>
    <row r="168" spans="1:51" hidden="1" outlineLevel="1">
      <c r="A168" s="5" t="s">
        <v>275</v>
      </c>
      <c r="B168" s="15">
        <f t="shared" si="4"/>
        <v>0</v>
      </c>
      <c r="C168" s="16">
        <f t="shared" si="5"/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 s="37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</row>
    <row r="169" spans="1:51" hidden="1" outlineLevel="1">
      <c r="A169" s="5" t="s">
        <v>276</v>
      </c>
      <c r="B169" s="15">
        <f t="shared" si="4"/>
        <v>0</v>
      </c>
      <c r="C169" s="16">
        <f t="shared" si="5"/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 s="37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</row>
    <row r="170" spans="1:51" hidden="1" outlineLevel="1">
      <c r="A170" s="5" t="s">
        <v>277</v>
      </c>
      <c r="B170" s="15">
        <f t="shared" si="4"/>
        <v>0</v>
      </c>
      <c r="C170" s="16">
        <f t="shared" si="5"/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 s="37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</row>
    <row r="171" spans="1:51" hidden="1" outlineLevel="1">
      <c r="A171" s="5" t="s">
        <v>278</v>
      </c>
      <c r="B171" s="15">
        <f t="shared" si="4"/>
        <v>0</v>
      </c>
      <c r="C171" s="16">
        <f t="shared" si="5"/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s="37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</row>
    <row r="172" spans="1:51" hidden="1" outlineLevel="1">
      <c r="A172" s="5" t="s">
        <v>279</v>
      </c>
      <c r="B172" s="15">
        <f t="shared" si="4"/>
        <v>0</v>
      </c>
      <c r="C172" s="16">
        <f t="shared" si="5"/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 s="37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</row>
    <row r="173" spans="1:51" hidden="1" outlineLevel="1">
      <c r="A173" s="5" t="s">
        <v>280</v>
      </c>
      <c r="B173" s="15">
        <f t="shared" si="4"/>
        <v>0</v>
      </c>
      <c r="C173" s="16">
        <f t="shared" si="5"/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s="37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</row>
    <row r="174" spans="1:51" hidden="1" outlineLevel="1">
      <c r="A174" s="5" t="s">
        <v>281</v>
      </c>
      <c r="B174" s="15">
        <f t="shared" si="4"/>
        <v>0</v>
      </c>
      <c r="C174" s="16">
        <f t="shared" si="5"/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s="37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</row>
    <row r="175" spans="1:51" hidden="1" outlineLevel="1">
      <c r="A175" s="5" t="s">
        <v>282</v>
      </c>
      <c r="B175" s="15">
        <f t="shared" si="4"/>
        <v>0</v>
      </c>
      <c r="C175" s="16">
        <f t="shared" si="5"/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s="37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</row>
    <row r="176" spans="1:51" hidden="1" outlineLevel="1">
      <c r="A176" s="5" t="s">
        <v>283</v>
      </c>
      <c r="B176" s="15">
        <f t="shared" si="4"/>
        <v>0</v>
      </c>
      <c r="C176" s="16">
        <f t="shared" si="5"/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 s="37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</row>
    <row r="177" spans="1:51" hidden="1" outlineLevel="1">
      <c r="A177" s="5" t="s">
        <v>284</v>
      </c>
      <c r="B177" s="15">
        <f t="shared" si="4"/>
        <v>0</v>
      </c>
      <c r="C177" s="16">
        <f t="shared" si="5"/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 s="3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</row>
    <row r="178" spans="1:51" hidden="1" outlineLevel="1">
      <c r="A178" s="5" t="s">
        <v>285</v>
      </c>
      <c r="B178" s="15">
        <f t="shared" si="4"/>
        <v>0</v>
      </c>
      <c r="C178" s="16">
        <f t="shared" si="5"/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 s="37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</row>
    <row r="179" spans="1:51" hidden="1" outlineLevel="1">
      <c r="A179" s="5" t="s">
        <v>286</v>
      </c>
      <c r="B179" s="15">
        <f t="shared" si="4"/>
        <v>0</v>
      </c>
      <c r="C179" s="16">
        <f t="shared" si="5"/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s="37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</row>
    <row r="180" spans="1:51" s="25" customFormat="1" ht="19.5" collapsed="1">
      <c r="A180" s="28" t="s">
        <v>287</v>
      </c>
      <c r="B180" s="26">
        <f t="shared" si="4"/>
        <v>87</v>
      </c>
      <c r="C180" s="27">
        <f t="shared" si="5"/>
        <v>1.8125</v>
      </c>
      <c r="D180" s="25">
        <f>SUM(D181:D194)</f>
        <v>6</v>
      </c>
      <c r="E180" s="25">
        <f>SUM(E181:E194)</f>
        <v>2</v>
      </c>
      <c r="F180" s="25">
        <f>SUM(F181:F194)</f>
        <v>2</v>
      </c>
      <c r="G180" s="25">
        <f>SUM(G181:G194)</f>
        <v>0</v>
      </c>
      <c r="H180" s="25">
        <f>SUM(H181:H194)</f>
        <v>7</v>
      </c>
      <c r="I180" s="35">
        <f>SUM(I181:I194)</f>
        <v>2</v>
      </c>
      <c r="J180" s="25">
        <f>SUM(J181:J194)</f>
        <v>6</v>
      </c>
      <c r="K180" s="25">
        <f>SUM(K181:K194)</f>
        <v>2</v>
      </c>
      <c r="L180" s="25">
        <f>SUM(L181:L194)</f>
        <v>5</v>
      </c>
      <c r="M180" s="25">
        <f>SUM(M181:M194)</f>
        <v>4</v>
      </c>
      <c r="N180" s="25">
        <f>SUM(N181:N194)</f>
        <v>3</v>
      </c>
      <c r="O180" s="25">
        <f>SUM(O181:O194)</f>
        <v>6</v>
      </c>
      <c r="P180" s="25">
        <f>SUM(P181:P194)</f>
        <v>4</v>
      </c>
      <c r="Q180" s="25">
        <f>SUM(Q181:Q194)</f>
        <v>2</v>
      </c>
      <c r="R180" s="25">
        <f>SUM(R181:R194)</f>
        <v>4</v>
      </c>
      <c r="S180" s="25">
        <f>SUM(S181:S194)</f>
        <v>0</v>
      </c>
      <c r="T180" s="25">
        <f>SUM(T181:T194)</f>
        <v>0</v>
      </c>
      <c r="U180" s="25">
        <f>SUM(U181:U194)</f>
        <v>2</v>
      </c>
      <c r="V180" s="25">
        <f>SUM(V181:V194)</f>
        <v>2</v>
      </c>
      <c r="W180" s="25">
        <f>SUM(W181:W194)</f>
        <v>0</v>
      </c>
      <c r="X180" s="25">
        <f>SUM(X181:X194)</f>
        <v>6</v>
      </c>
      <c r="Y180" s="25">
        <f>SUM(Y181:Y194)</f>
        <v>4</v>
      </c>
      <c r="Z180" s="25">
        <f>SUM(Z181:Z194)</f>
        <v>0</v>
      </c>
      <c r="AA180" s="25">
        <f>SUM(AA181:AA194)</f>
        <v>0</v>
      </c>
      <c r="AB180" s="25">
        <f>SUM(AB181:AB194)</f>
        <v>0</v>
      </c>
      <c r="AC180" s="25">
        <f>SUM(AC181:AC194)</f>
        <v>0</v>
      </c>
      <c r="AD180" s="25">
        <f>SUM(AD181:AD194)</f>
        <v>0</v>
      </c>
      <c r="AE180" s="25">
        <f>SUM(AE181:AE194)</f>
        <v>0</v>
      </c>
      <c r="AF180" s="25">
        <f>SUM(AF181:AF194)</f>
        <v>4</v>
      </c>
      <c r="AG180" s="25">
        <f>SUM(AG181:AG194)</f>
        <v>4</v>
      </c>
      <c r="AH180" s="25">
        <f>SUM(AH181:AH194)</f>
        <v>0</v>
      </c>
      <c r="AI180" s="25">
        <f>SUM(AI181:AI194)</f>
        <v>0</v>
      </c>
      <c r="AJ180" s="25">
        <f>SUM(AJ181:AJ194)</f>
        <v>4</v>
      </c>
      <c r="AK180" s="25">
        <f>SUM(AK181:AK194)</f>
        <v>4</v>
      </c>
      <c r="AL180" s="25">
        <f>SUM(AL181:AL194)</f>
        <v>0</v>
      </c>
      <c r="AM180" s="25">
        <f>SUM(AM181:AM194)</f>
        <v>0</v>
      </c>
      <c r="AN180" s="25">
        <f>SUM(AN181:AN194)</f>
        <v>2</v>
      </c>
      <c r="AO180" s="25">
        <f>SUM(AO181:AO194)</f>
        <v>0</v>
      </c>
      <c r="AP180" s="25">
        <f>SUM(AP181:AP194)</f>
        <v>0</v>
      </c>
      <c r="AQ180" s="25">
        <f>SUM(AQ181:AQ194)</f>
        <v>0</v>
      </c>
      <c r="AR180" s="25">
        <f>SUM(AR181:AR194)</f>
        <v>0</v>
      </c>
      <c r="AS180" s="25">
        <f>SUM(AS181:AS194)</f>
        <v>0</v>
      </c>
      <c r="AT180" s="25">
        <f>SUM(AT181:AT194)</f>
        <v>0</v>
      </c>
      <c r="AU180" s="25">
        <f>SUM(AU181:AU194)</f>
        <v>0</v>
      </c>
      <c r="AV180" s="25">
        <f>SUM(AV181:AV194)</f>
        <v>0</v>
      </c>
      <c r="AW180" s="25">
        <f>SUM(AW181:AW194)</f>
        <v>0</v>
      </c>
      <c r="AX180" s="25">
        <f>SUM(AX181:AX194)</f>
        <v>0</v>
      </c>
      <c r="AY180" s="25">
        <f>SUM(AY181:AY194)</f>
        <v>0</v>
      </c>
    </row>
    <row r="181" spans="1:51" hidden="1" outlineLevel="1">
      <c r="A181" s="5" t="s">
        <v>298</v>
      </c>
      <c r="B181" s="15">
        <f t="shared" si="4"/>
        <v>87</v>
      </c>
      <c r="C181" s="16">
        <f t="shared" si="5"/>
        <v>1.8125</v>
      </c>
      <c r="D181">
        <v>6</v>
      </c>
      <c r="E181">
        <v>2</v>
      </c>
      <c r="F181">
        <v>2</v>
      </c>
      <c r="G181">
        <v>0</v>
      </c>
      <c r="H181">
        <v>7</v>
      </c>
      <c r="I181" s="37">
        <v>2</v>
      </c>
      <c r="J181">
        <v>6</v>
      </c>
      <c r="K181">
        <v>2</v>
      </c>
      <c r="L181">
        <v>5</v>
      </c>
      <c r="M181">
        <v>4</v>
      </c>
      <c r="N181">
        <v>3</v>
      </c>
      <c r="O181">
        <v>6</v>
      </c>
      <c r="P181">
        <v>4</v>
      </c>
      <c r="Q181">
        <v>2</v>
      </c>
      <c r="R181">
        <v>4</v>
      </c>
      <c r="S181">
        <v>0</v>
      </c>
      <c r="T181">
        <v>0</v>
      </c>
      <c r="U181">
        <v>2</v>
      </c>
      <c r="V181">
        <v>2</v>
      </c>
      <c r="W181">
        <v>0</v>
      </c>
      <c r="X181">
        <v>6</v>
      </c>
      <c r="Y181">
        <v>4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4</v>
      </c>
      <c r="AG181">
        <v>4</v>
      </c>
      <c r="AH181">
        <v>0</v>
      </c>
      <c r="AI181">
        <v>0</v>
      </c>
      <c r="AJ181">
        <v>4</v>
      </c>
      <c r="AK181">
        <v>4</v>
      </c>
      <c r="AL181">
        <v>0</v>
      </c>
      <c r="AM181">
        <v>0</v>
      </c>
      <c r="AN181">
        <v>2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</row>
    <row r="182" spans="1:51" hidden="1" outlineLevel="1">
      <c r="A182" s="5" t="s">
        <v>288</v>
      </c>
      <c r="B182" s="15">
        <f t="shared" si="4"/>
        <v>0</v>
      </c>
      <c r="C182" s="16">
        <f t="shared" si="5"/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 s="37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</row>
    <row r="183" spans="1:51" hidden="1" outlineLevel="1">
      <c r="A183" s="5" t="s">
        <v>289</v>
      </c>
      <c r="B183" s="15">
        <f t="shared" si="4"/>
        <v>0</v>
      </c>
      <c r="C183" s="16">
        <f t="shared" si="5"/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 s="37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</row>
    <row r="184" spans="1:51" hidden="1" outlineLevel="1">
      <c r="A184" s="5" t="s">
        <v>290</v>
      </c>
      <c r="B184" s="15">
        <f t="shared" si="4"/>
        <v>0</v>
      </c>
      <c r="C184" s="16">
        <f t="shared" si="5"/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s="37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</row>
    <row r="185" spans="1:51" hidden="1" outlineLevel="1">
      <c r="A185" s="5" t="s">
        <v>291</v>
      </c>
      <c r="B185" s="15">
        <f t="shared" si="4"/>
        <v>0</v>
      </c>
      <c r="C185" s="16">
        <f t="shared" si="5"/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s="37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</row>
    <row r="186" spans="1:51" hidden="1" outlineLevel="1">
      <c r="A186" s="5" t="s">
        <v>292</v>
      </c>
      <c r="B186" s="15">
        <f t="shared" si="4"/>
        <v>0</v>
      </c>
      <c r="C186" s="16">
        <f t="shared" si="5"/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s="37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</row>
    <row r="187" spans="1:51" hidden="1" outlineLevel="1">
      <c r="A187" s="5" t="s">
        <v>293</v>
      </c>
      <c r="B187" s="15">
        <f t="shared" si="4"/>
        <v>0</v>
      </c>
      <c r="C187" s="16">
        <f t="shared" si="5"/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 s="3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</row>
    <row r="188" spans="1:51" hidden="1" outlineLevel="1">
      <c r="A188" s="5" t="s">
        <v>294</v>
      </c>
      <c r="B188" s="15">
        <f t="shared" si="4"/>
        <v>0</v>
      </c>
      <c r="C188" s="16">
        <f t="shared" si="5"/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s="37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</row>
    <row r="189" spans="1:51" hidden="1" outlineLevel="1">
      <c r="A189" s="5" t="s">
        <v>295</v>
      </c>
      <c r="B189" s="15">
        <f t="shared" si="4"/>
        <v>0</v>
      </c>
      <c r="C189" s="16">
        <f t="shared" si="5"/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 s="37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</row>
    <row r="190" spans="1:51" hidden="1" outlineLevel="1">
      <c r="A190" s="5" t="s">
        <v>296</v>
      </c>
      <c r="B190" s="15">
        <f t="shared" si="4"/>
        <v>0</v>
      </c>
      <c r="C190" s="16">
        <f t="shared" si="5"/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 s="37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</row>
    <row r="191" spans="1:51" hidden="1" outlineLevel="1">
      <c r="A191" s="5" t="s">
        <v>297</v>
      </c>
      <c r="B191" s="15">
        <f t="shared" si="4"/>
        <v>0</v>
      </c>
      <c r="C191" s="16">
        <f t="shared" si="5"/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s="37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</row>
    <row r="192" spans="1:51" hidden="1" outlineLevel="1">
      <c r="A192" s="5" t="s">
        <v>299</v>
      </c>
      <c r="B192" s="15">
        <f t="shared" si="4"/>
        <v>0</v>
      </c>
      <c r="C192" s="16">
        <f t="shared" si="5"/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s="37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</row>
    <row r="193" spans="1:51" hidden="1" outlineLevel="1">
      <c r="A193" s="5" t="s">
        <v>300</v>
      </c>
      <c r="B193" s="15">
        <f t="shared" si="4"/>
        <v>0</v>
      </c>
      <c r="C193" s="16">
        <f t="shared" si="5"/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s="37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</row>
    <row r="194" spans="1:51" hidden="1" outlineLevel="1">
      <c r="A194" s="5" t="s">
        <v>301</v>
      </c>
      <c r="B194" s="15">
        <f t="shared" ref="B194:B257" si="6">SUM(D194:AY194)</f>
        <v>0</v>
      </c>
      <c r="C194" s="16">
        <f t="shared" ref="C194:C257" si="7">AVERAGE(D194:AY194)</f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s="37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</row>
    <row r="195" spans="1:51" s="25" customFormat="1" ht="19.5" collapsed="1">
      <c r="A195" s="28" t="s">
        <v>302</v>
      </c>
      <c r="B195" s="26">
        <f t="shared" si="6"/>
        <v>0</v>
      </c>
      <c r="C195" s="27">
        <f t="shared" si="7"/>
        <v>0</v>
      </c>
      <c r="D195" s="25">
        <f>SUM(D196:D232)</f>
        <v>0</v>
      </c>
      <c r="E195" s="25">
        <f>SUM(E196:E232)</f>
        <v>0</v>
      </c>
      <c r="F195" s="25">
        <f>SUM(F196:F232)</f>
        <v>0</v>
      </c>
      <c r="G195" s="25">
        <f>SUM(G196:G232)</f>
        <v>0</v>
      </c>
      <c r="H195" s="25">
        <f>SUM(H196:H232)</f>
        <v>0</v>
      </c>
      <c r="I195" s="35">
        <f>SUM(I196:I232)</f>
        <v>0</v>
      </c>
      <c r="J195" s="25">
        <f>SUM(J196:J232)</f>
        <v>0</v>
      </c>
      <c r="K195" s="25">
        <f>SUM(K196:K232)</f>
        <v>0</v>
      </c>
      <c r="L195" s="25">
        <f>SUM(L196:L232)</f>
        <v>0</v>
      </c>
      <c r="M195" s="25">
        <f>SUM(M196:M232)</f>
        <v>0</v>
      </c>
      <c r="N195" s="25">
        <f>SUM(N196:N232)</f>
        <v>0</v>
      </c>
      <c r="O195" s="25">
        <f>SUM(O196:O232)</f>
        <v>0</v>
      </c>
      <c r="P195" s="25">
        <f>SUM(P196:P232)</f>
        <v>0</v>
      </c>
      <c r="Q195" s="25">
        <f>SUM(Q196:Q232)</f>
        <v>0</v>
      </c>
      <c r="R195" s="25">
        <f>SUM(R196:R232)</f>
        <v>0</v>
      </c>
      <c r="S195" s="25">
        <f>SUM(S196:S232)</f>
        <v>0</v>
      </c>
      <c r="T195" s="25">
        <f>SUM(T196:T232)</f>
        <v>0</v>
      </c>
      <c r="U195" s="25">
        <f>SUM(U196:U232)</f>
        <v>0</v>
      </c>
      <c r="V195" s="25">
        <f>SUM(V196:V232)</f>
        <v>0</v>
      </c>
      <c r="W195" s="25">
        <f>SUM(W196:W232)</f>
        <v>0</v>
      </c>
      <c r="X195" s="25">
        <f>SUM(X196:X232)</f>
        <v>0</v>
      </c>
      <c r="Y195" s="25">
        <f>SUM(Y196:Y232)</f>
        <v>0</v>
      </c>
      <c r="Z195" s="25">
        <f>SUM(Z196:Z232)</f>
        <v>0</v>
      </c>
      <c r="AA195" s="25">
        <f>SUM(AA196:AA232)</f>
        <v>0</v>
      </c>
      <c r="AB195" s="25">
        <f>SUM(AB196:AB232)</f>
        <v>0</v>
      </c>
      <c r="AC195" s="25">
        <f>SUM(AC196:AC232)</f>
        <v>0</v>
      </c>
      <c r="AD195" s="25">
        <f>SUM(AD196:AD232)</f>
        <v>0</v>
      </c>
      <c r="AE195" s="25">
        <f>SUM(AE196:AE232)</f>
        <v>0</v>
      </c>
      <c r="AF195" s="25">
        <f>SUM(AF196:AF232)</f>
        <v>0</v>
      </c>
      <c r="AG195" s="25">
        <f>SUM(AG196:AG232)</f>
        <v>0</v>
      </c>
      <c r="AH195" s="25">
        <f>SUM(AH196:AH232)</f>
        <v>0</v>
      </c>
      <c r="AI195" s="25">
        <f>SUM(AI196:AI232)</f>
        <v>0</v>
      </c>
      <c r="AJ195" s="25">
        <f>SUM(AJ196:AJ232)</f>
        <v>0</v>
      </c>
      <c r="AK195" s="25">
        <f>SUM(AK196:AK232)</f>
        <v>0</v>
      </c>
      <c r="AL195" s="25">
        <f>SUM(AL196:AL232)</f>
        <v>0</v>
      </c>
      <c r="AM195" s="25">
        <f>SUM(AM196:AM232)</f>
        <v>0</v>
      </c>
      <c r="AN195" s="25">
        <f>SUM(AN196:AN232)</f>
        <v>0</v>
      </c>
      <c r="AO195" s="25">
        <f>SUM(AO196:AO232)</f>
        <v>0</v>
      </c>
      <c r="AP195" s="25">
        <f>SUM(AP196:AP232)</f>
        <v>0</v>
      </c>
      <c r="AQ195" s="25">
        <f>SUM(AQ196:AQ232)</f>
        <v>0</v>
      </c>
      <c r="AR195" s="25">
        <f>SUM(AR196:AR232)</f>
        <v>0</v>
      </c>
      <c r="AS195" s="25">
        <f>SUM(AS196:AS232)</f>
        <v>0</v>
      </c>
      <c r="AT195" s="25">
        <f>SUM(AT196:AT232)</f>
        <v>0</v>
      </c>
      <c r="AU195" s="25">
        <f>SUM(AU196:AU232)</f>
        <v>0</v>
      </c>
      <c r="AV195" s="25">
        <f>SUM(AV196:AV232)</f>
        <v>0</v>
      </c>
      <c r="AW195" s="25">
        <f>SUM(AW196:AW232)</f>
        <v>0</v>
      </c>
      <c r="AX195" s="25">
        <f>SUM(AX196:AX232)</f>
        <v>0</v>
      </c>
      <c r="AY195" s="25">
        <f>SUM(AY196:AY232)</f>
        <v>0</v>
      </c>
    </row>
    <row r="196" spans="1:51" hidden="1" outlineLevel="1">
      <c r="A196" s="5" t="s">
        <v>303</v>
      </c>
      <c r="B196" s="15">
        <f t="shared" si="6"/>
        <v>0</v>
      </c>
      <c r="C196" s="16">
        <f t="shared" si="7"/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s="37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</row>
    <row r="197" spans="1:51" hidden="1" outlineLevel="1">
      <c r="A197" s="5" t="s">
        <v>304</v>
      </c>
      <c r="B197" s="15">
        <f t="shared" si="6"/>
        <v>0</v>
      </c>
      <c r="C197" s="16">
        <f t="shared" si="7"/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s="3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</row>
    <row r="198" spans="1:51" hidden="1" outlineLevel="1">
      <c r="A198" s="5" t="s">
        <v>305</v>
      </c>
      <c r="B198" s="15">
        <f t="shared" si="6"/>
        <v>0</v>
      </c>
      <c r="C198" s="16">
        <f t="shared" si="7"/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s="37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</row>
    <row r="199" spans="1:51" hidden="1" outlineLevel="1">
      <c r="A199" s="5" t="s">
        <v>306</v>
      </c>
      <c r="B199" s="15">
        <f t="shared" si="6"/>
        <v>0</v>
      </c>
      <c r="C199" s="16">
        <f t="shared" si="7"/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 s="37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</row>
    <row r="200" spans="1:51" hidden="1" outlineLevel="1">
      <c r="A200" s="5" t="s">
        <v>307</v>
      </c>
      <c r="B200" s="15">
        <f t="shared" si="6"/>
        <v>0</v>
      </c>
      <c r="C200" s="16">
        <f t="shared" si="7"/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 s="37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</row>
    <row r="201" spans="1:51" hidden="1" outlineLevel="1">
      <c r="A201" s="5" t="s">
        <v>308</v>
      </c>
      <c r="B201" s="15">
        <f t="shared" si="6"/>
        <v>0</v>
      </c>
      <c r="C201" s="16">
        <f t="shared" si="7"/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s="37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</row>
    <row r="202" spans="1:51" hidden="1" outlineLevel="1">
      <c r="A202" s="5" t="s">
        <v>309</v>
      </c>
      <c r="B202" s="15">
        <f t="shared" si="6"/>
        <v>0</v>
      </c>
      <c r="C202" s="16">
        <f t="shared" si="7"/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 s="37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</row>
    <row r="203" spans="1:51" hidden="1" outlineLevel="1">
      <c r="A203" s="5" t="s">
        <v>310</v>
      </c>
      <c r="B203" s="15">
        <f t="shared" si="6"/>
        <v>0</v>
      </c>
      <c r="C203" s="16">
        <f t="shared" si="7"/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s="37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</row>
    <row r="204" spans="1:51" hidden="1" outlineLevel="1">
      <c r="A204" s="5" t="s">
        <v>311</v>
      </c>
      <c r="B204" s="15">
        <f t="shared" si="6"/>
        <v>0</v>
      </c>
      <c r="C204" s="16">
        <f t="shared" si="7"/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 s="37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</row>
    <row r="205" spans="1:51" hidden="1" outlineLevel="1">
      <c r="A205" s="5" t="s">
        <v>312</v>
      </c>
      <c r="B205" s="15">
        <f t="shared" si="6"/>
        <v>0</v>
      </c>
      <c r="C205" s="16">
        <f t="shared" si="7"/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s="37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</row>
    <row r="206" spans="1:51" hidden="1" outlineLevel="1">
      <c r="A206" s="5" t="s">
        <v>313</v>
      </c>
      <c r="B206" s="15">
        <f t="shared" si="6"/>
        <v>0</v>
      </c>
      <c r="C206" s="16">
        <f t="shared" si="7"/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s="37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</row>
    <row r="207" spans="1:51" hidden="1" outlineLevel="1">
      <c r="A207" s="5" t="s">
        <v>314</v>
      </c>
      <c r="B207" s="15">
        <f t="shared" si="6"/>
        <v>0</v>
      </c>
      <c r="C207" s="16">
        <f t="shared" si="7"/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s="3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</row>
    <row r="208" spans="1:51" hidden="1" outlineLevel="1">
      <c r="A208" s="5" t="s">
        <v>315</v>
      </c>
      <c r="B208" s="15">
        <f t="shared" si="6"/>
        <v>0</v>
      </c>
      <c r="C208" s="16">
        <f t="shared" si="7"/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 s="37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</row>
    <row r="209" spans="1:51" hidden="1" outlineLevel="1">
      <c r="A209" s="5" t="s">
        <v>316</v>
      </c>
      <c r="B209" s="15">
        <f t="shared" si="6"/>
        <v>0</v>
      </c>
      <c r="C209" s="16">
        <f t="shared" si="7"/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 s="37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</row>
    <row r="210" spans="1:51" hidden="1" outlineLevel="1">
      <c r="A210" s="5" t="s">
        <v>317</v>
      </c>
      <c r="B210" s="15">
        <f t="shared" si="6"/>
        <v>0</v>
      </c>
      <c r="C210" s="16">
        <f t="shared" si="7"/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 s="37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</row>
    <row r="211" spans="1:51" hidden="1" outlineLevel="1">
      <c r="A211" s="5" t="s">
        <v>318</v>
      </c>
      <c r="B211" s="15">
        <f t="shared" si="6"/>
        <v>0</v>
      </c>
      <c r="C211" s="16">
        <f t="shared" si="7"/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s="37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</row>
    <row r="212" spans="1:51" hidden="1" outlineLevel="1">
      <c r="A212" s="5" t="s">
        <v>319</v>
      </c>
      <c r="B212" s="15">
        <f t="shared" si="6"/>
        <v>0</v>
      </c>
      <c r="C212" s="16">
        <f t="shared" si="7"/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 s="37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</row>
    <row r="213" spans="1:51" hidden="1" outlineLevel="1">
      <c r="A213" s="5" t="s">
        <v>320</v>
      </c>
      <c r="B213" s="15">
        <f t="shared" si="6"/>
        <v>0</v>
      </c>
      <c r="C213" s="16">
        <f t="shared" si="7"/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 s="37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</row>
    <row r="214" spans="1:51" hidden="1" outlineLevel="1">
      <c r="A214" s="5" t="s">
        <v>321</v>
      </c>
      <c r="B214" s="15">
        <f t="shared" si="6"/>
        <v>0</v>
      </c>
      <c r="C214" s="16">
        <f t="shared" si="7"/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 s="37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</row>
    <row r="215" spans="1:51" hidden="1" outlineLevel="1">
      <c r="A215" s="5" t="s">
        <v>322</v>
      </c>
      <c r="B215" s="15">
        <f t="shared" si="6"/>
        <v>0</v>
      </c>
      <c r="C215" s="16">
        <f t="shared" si="7"/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 s="37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</row>
    <row r="216" spans="1:51" hidden="1" outlineLevel="1">
      <c r="A216" s="5" t="s">
        <v>323</v>
      </c>
      <c r="B216" s="15">
        <f t="shared" si="6"/>
        <v>0</v>
      </c>
      <c r="C216" s="16">
        <f t="shared" si="7"/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s="37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</row>
    <row r="217" spans="1:51" hidden="1" outlineLevel="1">
      <c r="A217" s="5" t="s">
        <v>324</v>
      </c>
      <c r="B217" s="15">
        <f t="shared" si="6"/>
        <v>0</v>
      </c>
      <c r="C217" s="16">
        <f t="shared" si="7"/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s="3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</row>
    <row r="218" spans="1:51" hidden="1" outlineLevel="1">
      <c r="A218" s="5" t="s">
        <v>325</v>
      </c>
      <c r="B218" s="15">
        <f t="shared" si="6"/>
        <v>0</v>
      </c>
      <c r="C218" s="16">
        <f t="shared" si="7"/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 s="37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</row>
    <row r="219" spans="1:51" hidden="1" outlineLevel="1">
      <c r="A219" s="5" t="s">
        <v>326</v>
      </c>
      <c r="B219" s="15">
        <f t="shared" si="6"/>
        <v>0</v>
      </c>
      <c r="C219" s="16">
        <f t="shared" si="7"/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s="37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</row>
    <row r="220" spans="1:51" hidden="1" outlineLevel="1">
      <c r="A220" s="5" t="s">
        <v>327</v>
      </c>
      <c r="B220" s="15">
        <f t="shared" si="6"/>
        <v>0</v>
      </c>
      <c r="C220" s="16">
        <f t="shared" si="7"/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 s="37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</row>
    <row r="221" spans="1:51" hidden="1" outlineLevel="1">
      <c r="A221" s="5" t="s">
        <v>328</v>
      </c>
      <c r="B221" s="15">
        <f t="shared" si="6"/>
        <v>0</v>
      </c>
      <c r="C221" s="16">
        <f t="shared" si="7"/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 s="37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</row>
    <row r="222" spans="1:51" hidden="1" outlineLevel="1">
      <c r="A222" s="5" t="s">
        <v>329</v>
      </c>
      <c r="B222" s="15">
        <f t="shared" si="6"/>
        <v>0</v>
      </c>
      <c r="C222" s="16">
        <f t="shared" si="7"/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 s="37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</row>
    <row r="223" spans="1:51" hidden="1" outlineLevel="1">
      <c r="A223" s="5" t="s">
        <v>330</v>
      </c>
      <c r="B223" s="15">
        <f t="shared" si="6"/>
        <v>0</v>
      </c>
      <c r="C223" s="16">
        <f t="shared" si="7"/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 s="37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</row>
    <row r="224" spans="1:51" hidden="1" outlineLevel="1">
      <c r="A224" s="5" t="s">
        <v>331</v>
      </c>
      <c r="B224" s="15">
        <f t="shared" si="6"/>
        <v>0</v>
      </c>
      <c r="C224" s="16">
        <f t="shared" si="7"/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s="37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</row>
    <row r="225" spans="1:51" hidden="1" outlineLevel="1">
      <c r="A225" s="5" t="s">
        <v>332</v>
      </c>
      <c r="B225" s="15">
        <f t="shared" si="6"/>
        <v>0</v>
      </c>
      <c r="C225" s="16">
        <f t="shared" si="7"/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 s="37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</row>
    <row r="226" spans="1:51" hidden="1" outlineLevel="1">
      <c r="A226" s="5" t="s">
        <v>333</v>
      </c>
      <c r="B226" s="15">
        <f t="shared" si="6"/>
        <v>0</v>
      </c>
      <c r="C226" s="16">
        <f t="shared" si="7"/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s="37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</row>
    <row r="227" spans="1:51" hidden="1" outlineLevel="1">
      <c r="A227" s="5" t="s">
        <v>334</v>
      </c>
      <c r="B227" s="15">
        <f t="shared" si="6"/>
        <v>0</v>
      </c>
      <c r="C227" s="16">
        <f t="shared" si="7"/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s="3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</row>
    <row r="228" spans="1:51" hidden="1" outlineLevel="1">
      <c r="A228" s="5" t="s">
        <v>335</v>
      </c>
      <c r="B228" s="15">
        <f t="shared" si="6"/>
        <v>0</v>
      </c>
      <c r="C228" s="16">
        <f t="shared" si="7"/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 s="37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</row>
    <row r="229" spans="1:51" hidden="1" outlineLevel="1">
      <c r="A229" s="5" t="s">
        <v>336</v>
      </c>
      <c r="B229" s="15">
        <f t="shared" si="6"/>
        <v>0</v>
      </c>
      <c r="C229" s="16">
        <f t="shared" si="7"/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 s="37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</row>
    <row r="230" spans="1:51" hidden="1" outlineLevel="1">
      <c r="A230" s="5" t="s">
        <v>337</v>
      </c>
      <c r="B230" s="15">
        <f t="shared" si="6"/>
        <v>0</v>
      </c>
      <c r="C230" s="16">
        <f t="shared" si="7"/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 s="37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</row>
    <row r="231" spans="1:51" hidden="1" outlineLevel="1">
      <c r="A231" s="5" t="s">
        <v>338</v>
      </c>
      <c r="B231" s="15">
        <f t="shared" si="6"/>
        <v>0</v>
      </c>
      <c r="C231" s="16">
        <f t="shared" si="7"/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 s="37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</row>
    <row r="232" spans="1:51" hidden="1" outlineLevel="1">
      <c r="A232" s="5" t="s">
        <v>339</v>
      </c>
      <c r="B232" s="15">
        <f t="shared" si="6"/>
        <v>0</v>
      </c>
      <c r="C232" s="16">
        <f t="shared" si="7"/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 s="37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</row>
    <row r="233" spans="1:51" s="25" customFormat="1" ht="19.5" collapsed="1">
      <c r="A233" s="28" t="s">
        <v>340</v>
      </c>
      <c r="B233" s="26">
        <f t="shared" si="6"/>
        <v>35</v>
      </c>
      <c r="C233" s="27">
        <f t="shared" si="7"/>
        <v>0.72916666666666663</v>
      </c>
      <c r="D233" s="25">
        <f>SUM(D234:D246)</f>
        <v>1</v>
      </c>
      <c r="E233" s="25">
        <f>SUM(E234:E246)</f>
        <v>0</v>
      </c>
      <c r="F233" s="25">
        <f>SUM(F234:F246)</f>
        <v>0</v>
      </c>
      <c r="G233" s="25">
        <f>SUM(G234:G246)</f>
        <v>0</v>
      </c>
      <c r="H233" s="25">
        <f>SUM(H234:H246)</f>
        <v>0</v>
      </c>
      <c r="I233" s="35">
        <f>SUM(I234:I246)</f>
        <v>1</v>
      </c>
      <c r="J233" s="25">
        <f>SUM(J234:J246)</f>
        <v>0</v>
      </c>
      <c r="K233" s="25">
        <f>SUM(K234:K246)</f>
        <v>0</v>
      </c>
      <c r="L233" s="25">
        <f>SUM(L234:L246)</f>
        <v>0</v>
      </c>
      <c r="M233" s="25">
        <f>SUM(M234:M246)</f>
        <v>2</v>
      </c>
      <c r="N233" s="25">
        <f>SUM(N234:N246)</f>
        <v>0</v>
      </c>
      <c r="O233" s="25">
        <f>SUM(O234:O246)</f>
        <v>5</v>
      </c>
      <c r="P233" s="25">
        <f>SUM(P234:P246)</f>
        <v>0</v>
      </c>
      <c r="Q233" s="25">
        <f>SUM(Q234:Q246)</f>
        <v>1</v>
      </c>
      <c r="R233" s="25">
        <f>SUM(R234:R246)</f>
        <v>0</v>
      </c>
      <c r="S233" s="25">
        <f>SUM(S234:S246)</f>
        <v>1</v>
      </c>
      <c r="T233" s="25">
        <f>SUM(T234:T246)</f>
        <v>0</v>
      </c>
      <c r="U233" s="25">
        <f>SUM(U234:U246)</f>
        <v>0</v>
      </c>
      <c r="V233" s="25">
        <f>SUM(V234:V246)</f>
        <v>0</v>
      </c>
      <c r="W233" s="25">
        <f>SUM(W234:W246)</f>
        <v>1</v>
      </c>
      <c r="X233" s="25">
        <f>SUM(X234:X246)</f>
        <v>0</v>
      </c>
      <c r="Y233" s="25">
        <f>SUM(Y234:Y246)</f>
        <v>2</v>
      </c>
      <c r="Z233" s="25">
        <f>SUM(Z234:Z246)</f>
        <v>0</v>
      </c>
      <c r="AA233" s="25">
        <f>SUM(AA234:AA246)</f>
        <v>0</v>
      </c>
      <c r="AB233" s="25">
        <f>SUM(AB234:AB246)</f>
        <v>1</v>
      </c>
      <c r="AC233" s="25">
        <f>SUM(AC234:AC246)</f>
        <v>2</v>
      </c>
      <c r="AD233" s="25">
        <f>SUM(AD234:AD246)</f>
        <v>1</v>
      </c>
      <c r="AE233" s="25">
        <f>SUM(AE234:AE246)</f>
        <v>1</v>
      </c>
      <c r="AF233" s="25">
        <f>SUM(AF234:AF246)</f>
        <v>2</v>
      </c>
      <c r="AG233" s="25">
        <f>SUM(AG234:AG246)</f>
        <v>0</v>
      </c>
      <c r="AH233" s="25">
        <f>SUM(AH234:AH246)</f>
        <v>0</v>
      </c>
      <c r="AI233" s="25">
        <f>SUM(AI234:AI246)</f>
        <v>1</v>
      </c>
      <c r="AJ233" s="25">
        <f>SUM(AJ234:AJ246)</f>
        <v>0</v>
      </c>
      <c r="AK233" s="25">
        <f>SUM(AK234:AK246)</f>
        <v>0</v>
      </c>
      <c r="AL233" s="25">
        <f>SUM(AL234:AL246)</f>
        <v>1</v>
      </c>
      <c r="AM233" s="25">
        <f>SUM(AM234:AM246)</f>
        <v>1</v>
      </c>
      <c r="AN233" s="25">
        <f>SUM(AN234:AN246)</f>
        <v>0</v>
      </c>
      <c r="AO233" s="25">
        <f>SUM(AO234:AO246)</f>
        <v>1</v>
      </c>
      <c r="AP233" s="25">
        <f>SUM(AP234:AP246)</f>
        <v>1</v>
      </c>
      <c r="AQ233" s="25">
        <f>SUM(AQ234:AQ246)</f>
        <v>1</v>
      </c>
      <c r="AR233" s="25">
        <f>SUM(AR234:AR246)</f>
        <v>1</v>
      </c>
      <c r="AS233" s="25">
        <f>SUM(AS234:AS246)</f>
        <v>1</v>
      </c>
      <c r="AT233" s="25">
        <f>SUM(AT234:AT246)</f>
        <v>1</v>
      </c>
      <c r="AU233" s="25">
        <f>SUM(AU234:AU246)</f>
        <v>1</v>
      </c>
      <c r="AV233" s="25">
        <f>SUM(AV234:AV246)</f>
        <v>1</v>
      </c>
      <c r="AW233" s="25">
        <f>SUM(AW234:AW246)</f>
        <v>1</v>
      </c>
      <c r="AX233" s="25">
        <f>SUM(AX234:AX246)</f>
        <v>1</v>
      </c>
      <c r="AY233" s="25">
        <f>SUM(AY234:AY246)</f>
        <v>1</v>
      </c>
    </row>
    <row r="234" spans="1:51" hidden="1" outlineLevel="1">
      <c r="A234" s="5" t="s">
        <v>342</v>
      </c>
      <c r="B234" s="15">
        <f t="shared" si="6"/>
        <v>22</v>
      </c>
      <c r="C234" s="16">
        <f t="shared" si="7"/>
        <v>0.45833333333333331</v>
      </c>
      <c r="D234">
        <v>0</v>
      </c>
      <c r="E234">
        <v>0</v>
      </c>
      <c r="F234">
        <v>0</v>
      </c>
      <c r="G234">
        <v>0</v>
      </c>
      <c r="H234">
        <v>0</v>
      </c>
      <c r="I234" s="37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0</v>
      </c>
      <c r="W234">
        <v>1</v>
      </c>
      <c r="X234">
        <v>0</v>
      </c>
      <c r="Y234">
        <v>0</v>
      </c>
      <c r="Z234">
        <v>0</v>
      </c>
      <c r="AA234">
        <v>0</v>
      </c>
      <c r="AB234">
        <v>1</v>
      </c>
      <c r="AC234">
        <v>2</v>
      </c>
      <c r="AD234">
        <v>1</v>
      </c>
      <c r="AE234">
        <v>1</v>
      </c>
      <c r="AF234">
        <v>1</v>
      </c>
      <c r="AG234">
        <v>0</v>
      </c>
      <c r="AH234">
        <v>0</v>
      </c>
      <c r="AI234">
        <v>1</v>
      </c>
      <c r="AJ234">
        <v>0</v>
      </c>
      <c r="AK234">
        <v>0</v>
      </c>
      <c r="AL234">
        <v>1</v>
      </c>
      <c r="AM234">
        <v>1</v>
      </c>
      <c r="AN234">
        <v>0</v>
      </c>
      <c r="AO234">
        <v>1</v>
      </c>
      <c r="AP234">
        <v>1</v>
      </c>
      <c r="AQ234">
        <v>1</v>
      </c>
      <c r="AR234">
        <v>1</v>
      </c>
      <c r="AS234">
        <v>1</v>
      </c>
      <c r="AT234">
        <v>1</v>
      </c>
      <c r="AU234">
        <v>1</v>
      </c>
      <c r="AV234">
        <v>1</v>
      </c>
      <c r="AW234">
        <v>1</v>
      </c>
      <c r="AX234">
        <v>1</v>
      </c>
      <c r="AY234">
        <v>1</v>
      </c>
    </row>
    <row r="235" spans="1:51" hidden="1" outlineLevel="1">
      <c r="A235" s="5" t="s">
        <v>341</v>
      </c>
      <c r="B235" s="15">
        <f t="shared" si="6"/>
        <v>12</v>
      </c>
      <c r="C235" s="16">
        <f t="shared" si="7"/>
        <v>0.25</v>
      </c>
      <c r="D235">
        <v>1</v>
      </c>
      <c r="E235">
        <v>0</v>
      </c>
      <c r="F235">
        <v>0</v>
      </c>
      <c r="G235">
        <v>0</v>
      </c>
      <c r="H235">
        <v>0</v>
      </c>
      <c r="I235" s="37">
        <v>1</v>
      </c>
      <c r="J235">
        <v>0</v>
      </c>
      <c r="K235">
        <v>0</v>
      </c>
      <c r="L235">
        <v>0</v>
      </c>
      <c r="M235">
        <v>2</v>
      </c>
      <c r="N235">
        <v>0</v>
      </c>
      <c r="O235">
        <v>5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2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</row>
    <row r="236" spans="1:51" hidden="1" outlineLevel="1">
      <c r="A236" s="5" t="s">
        <v>352</v>
      </c>
      <c r="B236" s="15">
        <f t="shared" si="6"/>
        <v>1</v>
      </c>
      <c r="C236" s="16">
        <f t="shared" si="7"/>
        <v>2.0833333333333332E-2</v>
      </c>
      <c r="D236">
        <v>0</v>
      </c>
      <c r="E236">
        <v>0</v>
      </c>
      <c r="F236">
        <v>0</v>
      </c>
      <c r="G236">
        <v>0</v>
      </c>
      <c r="H236">
        <v>0</v>
      </c>
      <c r="I236" s="37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1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</row>
    <row r="237" spans="1:51" hidden="1" outlineLevel="1">
      <c r="A237" s="5" t="s">
        <v>343</v>
      </c>
      <c r="B237" s="15">
        <f t="shared" si="6"/>
        <v>0</v>
      </c>
      <c r="C237" s="16">
        <f t="shared" si="7"/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s="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</row>
    <row r="238" spans="1:51" hidden="1" outlineLevel="1">
      <c r="A238" s="5" t="s">
        <v>344</v>
      </c>
      <c r="B238" s="15">
        <f t="shared" si="6"/>
        <v>0</v>
      </c>
      <c r="C238" s="16">
        <f t="shared" si="7"/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 s="37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</row>
    <row r="239" spans="1:51" hidden="1" outlineLevel="1">
      <c r="A239" s="5" t="s">
        <v>345</v>
      </c>
      <c r="B239" s="15">
        <f t="shared" si="6"/>
        <v>0</v>
      </c>
      <c r="C239" s="16">
        <f t="shared" si="7"/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s="37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</row>
    <row r="240" spans="1:51" hidden="1" outlineLevel="1">
      <c r="A240" s="5" t="s">
        <v>346</v>
      </c>
      <c r="B240" s="15">
        <f t="shared" si="6"/>
        <v>0</v>
      </c>
      <c r="C240" s="16">
        <f t="shared" si="7"/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 s="37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</row>
    <row r="241" spans="1:51" hidden="1" outlineLevel="1">
      <c r="A241" s="5" t="s">
        <v>347</v>
      </c>
      <c r="B241" s="15">
        <f t="shared" si="6"/>
        <v>0</v>
      </c>
      <c r="C241" s="16">
        <f t="shared" si="7"/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s="37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</row>
    <row r="242" spans="1:51" hidden="1" outlineLevel="1">
      <c r="A242" s="5" t="s">
        <v>348</v>
      </c>
      <c r="B242" s="15">
        <f t="shared" si="6"/>
        <v>0</v>
      </c>
      <c r="C242" s="16">
        <f t="shared" si="7"/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s="37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</row>
    <row r="243" spans="1:51" hidden="1" outlineLevel="1">
      <c r="A243" s="5" t="s">
        <v>349</v>
      </c>
      <c r="B243" s="15">
        <f t="shared" si="6"/>
        <v>0</v>
      </c>
      <c r="C243" s="16">
        <f t="shared" si="7"/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s="37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</row>
    <row r="244" spans="1:51" hidden="1" outlineLevel="1">
      <c r="A244" s="5" t="s">
        <v>350</v>
      </c>
      <c r="B244" s="15">
        <f t="shared" si="6"/>
        <v>0</v>
      </c>
      <c r="C244" s="16">
        <f t="shared" si="7"/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 s="37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</row>
    <row r="245" spans="1:51" hidden="1" outlineLevel="1">
      <c r="A245" s="5" t="s">
        <v>351</v>
      </c>
      <c r="B245" s="15">
        <f t="shared" si="6"/>
        <v>0</v>
      </c>
      <c r="C245" s="16">
        <f t="shared" si="7"/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 s="37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</row>
    <row r="246" spans="1:51" hidden="1" outlineLevel="1">
      <c r="A246" s="5" t="s">
        <v>353</v>
      </c>
      <c r="B246" s="15">
        <f t="shared" si="6"/>
        <v>0</v>
      </c>
      <c r="C246" s="16">
        <f t="shared" si="7"/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s="37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</row>
    <row r="247" spans="1:51" s="25" customFormat="1" ht="19.5" collapsed="1">
      <c r="A247" s="28" t="s">
        <v>354</v>
      </c>
      <c r="B247" s="26">
        <f t="shared" si="6"/>
        <v>0</v>
      </c>
      <c r="C247" s="27">
        <f t="shared" si="7"/>
        <v>0</v>
      </c>
      <c r="D247" s="25">
        <f>SUM(D248:D277)</f>
        <v>0</v>
      </c>
      <c r="E247" s="25">
        <f>SUM(E248:E277)</f>
        <v>0</v>
      </c>
      <c r="F247" s="25">
        <f>SUM(F248:F277)</f>
        <v>0</v>
      </c>
      <c r="G247" s="25">
        <f>SUM(G248:G277)</f>
        <v>0</v>
      </c>
      <c r="H247" s="25">
        <f>SUM(H248:H277)</f>
        <v>0</v>
      </c>
      <c r="I247" s="35">
        <f>SUM(I248:I277)</f>
        <v>0</v>
      </c>
      <c r="J247" s="25">
        <f>SUM(J248:J277)</f>
        <v>0</v>
      </c>
      <c r="K247" s="25">
        <f>SUM(K248:K277)</f>
        <v>0</v>
      </c>
      <c r="L247" s="25">
        <f>SUM(L248:L277)</f>
        <v>0</v>
      </c>
      <c r="M247" s="25">
        <f>SUM(M248:M277)</f>
        <v>0</v>
      </c>
      <c r="N247" s="25">
        <f>SUM(N248:N277)</f>
        <v>0</v>
      </c>
      <c r="O247" s="25">
        <f>SUM(O248:O277)</f>
        <v>0</v>
      </c>
      <c r="P247" s="25">
        <f>SUM(P248:P277)</f>
        <v>0</v>
      </c>
      <c r="Q247" s="25">
        <f>SUM(Q248:Q277)</f>
        <v>0</v>
      </c>
      <c r="R247" s="25">
        <f>SUM(R248:R277)</f>
        <v>0</v>
      </c>
      <c r="S247" s="25">
        <f>SUM(S248:S277)</f>
        <v>0</v>
      </c>
      <c r="T247" s="25">
        <f>SUM(T248:T277)</f>
        <v>0</v>
      </c>
      <c r="U247" s="25">
        <f>SUM(U248:U277)</f>
        <v>0</v>
      </c>
      <c r="V247" s="25">
        <f>SUM(V248:V277)</f>
        <v>0</v>
      </c>
      <c r="W247" s="25">
        <f>SUM(W248:W277)</f>
        <v>0</v>
      </c>
      <c r="X247" s="25">
        <f>SUM(X248:X277)</f>
        <v>0</v>
      </c>
      <c r="Y247" s="25">
        <f>SUM(Y248:Y277)</f>
        <v>0</v>
      </c>
      <c r="Z247" s="25">
        <f>SUM(Z248:Z277)</f>
        <v>0</v>
      </c>
      <c r="AA247" s="25">
        <f>SUM(AA248:AA277)</f>
        <v>0</v>
      </c>
      <c r="AB247" s="25">
        <f>SUM(AB248:AB277)</f>
        <v>0</v>
      </c>
      <c r="AC247" s="25">
        <f>SUM(AC248:AC277)</f>
        <v>0</v>
      </c>
      <c r="AD247" s="25">
        <f>SUM(AD248:AD277)</f>
        <v>0</v>
      </c>
      <c r="AE247" s="25">
        <f>SUM(AE248:AE277)</f>
        <v>0</v>
      </c>
      <c r="AF247" s="25">
        <f>SUM(AF248:AF277)</f>
        <v>0</v>
      </c>
      <c r="AG247" s="25">
        <f>SUM(AG248:AG277)</f>
        <v>0</v>
      </c>
      <c r="AH247" s="25">
        <f>SUM(AH248:AH277)</f>
        <v>0</v>
      </c>
      <c r="AI247" s="25">
        <f>SUM(AI248:AI277)</f>
        <v>0</v>
      </c>
      <c r="AJ247" s="25">
        <f>SUM(AJ248:AJ277)</f>
        <v>0</v>
      </c>
      <c r="AK247" s="25">
        <f>SUM(AK248:AK277)</f>
        <v>0</v>
      </c>
      <c r="AL247" s="25">
        <f>SUM(AL248:AL277)</f>
        <v>0</v>
      </c>
      <c r="AM247" s="25">
        <f>SUM(AM248:AM277)</f>
        <v>0</v>
      </c>
      <c r="AN247" s="25">
        <f>SUM(AN248:AN277)</f>
        <v>0</v>
      </c>
      <c r="AO247" s="25">
        <f>SUM(AO248:AO277)</f>
        <v>0</v>
      </c>
      <c r="AP247" s="25">
        <f>SUM(AP248:AP277)</f>
        <v>0</v>
      </c>
      <c r="AQ247" s="25">
        <f>SUM(AQ248:AQ277)</f>
        <v>0</v>
      </c>
      <c r="AR247" s="25">
        <f>SUM(AR248:AR277)</f>
        <v>0</v>
      </c>
      <c r="AS247" s="25">
        <f>SUM(AS248:AS277)</f>
        <v>0</v>
      </c>
      <c r="AT247" s="25">
        <f>SUM(AT248:AT277)</f>
        <v>0</v>
      </c>
      <c r="AU247" s="25">
        <f>SUM(AU248:AU277)</f>
        <v>0</v>
      </c>
      <c r="AV247" s="25">
        <f>SUM(AV248:AV277)</f>
        <v>0</v>
      </c>
      <c r="AW247" s="25">
        <f>SUM(AW248:AW277)</f>
        <v>0</v>
      </c>
      <c r="AX247" s="25">
        <f>SUM(AX248:AX277)</f>
        <v>0</v>
      </c>
      <c r="AY247" s="25">
        <f>SUM(AY248:AY277)</f>
        <v>0</v>
      </c>
    </row>
    <row r="248" spans="1:51" hidden="1" outlineLevel="1">
      <c r="A248" s="5" t="s">
        <v>355</v>
      </c>
      <c r="B248" s="15">
        <f t="shared" si="6"/>
        <v>0</v>
      </c>
      <c r="C248" s="16">
        <f t="shared" si="7"/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s="37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</row>
    <row r="249" spans="1:51" hidden="1" outlineLevel="1">
      <c r="A249" s="5" t="s">
        <v>356</v>
      </c>
      <c r="B249" s="15">
        <f t="shared" si="6"/>
        <v>0</v>
      </c>
      <c r="C249" s="16">
        <f t="shared" si="7"/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s="37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</row>
    <row r="250" spans="1:51" hidden="1" outlineLevel="1">
      <c r="A250" s="5" t="s">
        <v>357</v>
      </c>
      <c r="B250" s="15">
        <f t="shared" si="6"/>
        <v>0</v>
      </c>
      <c r="C250" s="16">
        <f t="shared" si="7"/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 s="37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</row>
    <row r="251" spans="1:51" hidden="1" outlineLevel="1">
      <c r="A251" s="5" t="s">
        <v>358</v>
      </c>
      <c r="B251" s="15">
        <f t="shared" si="6"/>
        <v>0</v>
      </c>
      <c r="C251" s="16">
        <f t="shared" si="7"/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s="37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</row>
    <row r="252" spans="1:51" hidden="1" outlineLevel="1">
      <c r="A252" s="5" t="s">
        <v>359</v>
      </c>
      <c r="B252" s="15">
        <f t="shared" si="6"/>
        <v>0</v>
      </c>
      <c r="C252" s="16">
        <f t="shared" si="7"/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s="37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</row>
    <row r="253" spans="1:51" hidden="1" outlineLevel="1">
      <c r="A253" s="5" t="s">
        <v>312</v>
      </c>
      <c r="B253" s="15">
        <f t="shared" si="6"/>
        <v>0</v>
      </c>
      <c r="C253" s="16">
        <f t="shared" si="7"/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 s="37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</row>
    <row r="254" spans="1:51" hidden="1" outlineLevel="1">
      <c r="A254" s="5" t="s">
        <v>314</v>
      </c>
      <c r="B254" s="15">
        <f t="shared" si="6"/>
        <v>0</v>
      </c>
      <c r="C254" s="16">
        <f t="shared" si="7"/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 s="37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</row>
    <row r="255" spans="1:51" hidden="1" outlineLevel="1">
      <c r="A255" s="5" t="s">
        <v>362</v>
      </c>
      <c r="B255" s="15">
        <f t="shared" si="6"/>
        <v>0</v>
      </c>
      <c r="C255" s="16">
        <f t="shared" si="7"/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 s="37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</row>
    <row r="256" spans="1:51" hidden="1" outlineLevel="1">
      <c r="A256" s="5" t="s">
        <v>361</v>
      </c>
      <c r="B256" s="15">
        <f t="shared" si="6"/>
        <v>0</v>
      </c>
      <c r="C256" s="16">
        <f t="shared" si="7"/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 s="37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</row>
    <row r="257" spans="1:51" hidden="1" outlineLevel="1">
      <c r="A257" s="5" t="s">
        <v>243</v>
      </c>
      <c r="B257" s="15">
        <f t="shared" si="6"/>
        <v>0</v>
      </c>
      <c r="C257" s="16">
        <f t="shared" si="7"/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 s="3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</row>
    <row r="258" spans="1:51" hidden="1" outlineLevel="1">
      <c r="A258" s="5" t="s">
        <v>364</v>
      </c>
      <c r="B258" s="15">
        <f t="shared" ref="B258:B277" si="8">SUM(D258:AY258)</f>
        <v>0</v>
      </c>
      <c r="C258" s="16">
        <f t="shared" ref="C258:C278" si="9">AVERAGE(D258:AY258)</f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 s="37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</row>
    <row r="259" spans="1:51" hidden="1" outlineLevel="1">
      <c r="A259" s="5" t="s">
        <v>365</v>
      </c>
      <c r="B259" s="15">
        <f t="shared" si="8"/>
        <v>0</v>
      </c>
      <c r="C259" s="16">
        <f t="shared" si="9"/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 s="37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</row>
    <row r="260" spans="1:51" hidden="1" outlineLevel="1">
      <c r="A260" s="5" t="s">
        <v>366</v>
      </c>
      <c r="B260" s="15">
        <f t="shared" si="8"/>
        <v>0</v>
      </c>
      <c r="C260" s="16">
        <f t="shared" si="9"/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s="37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</row>
    <row r="261" spans="1:51" hidden="1" outlineLevel="1">
      <c r="A261" s="5" t="s">
        <v>366</v>
      </c>
      <c r="B261" s="15">
        <f t="shared" si="8"/>
        <v>0</v>
      </c>
      <c r="C261" s="16">
        <f t="shared" si="9"/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s="37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</row>
    <row r="262" spans="1:51" hidden="1" outlineLevel="1">
      <c r="A262" s="5" t="s">
        <v>367</v>
      </c>
      <c r="B262" s="15">
        <f t="shared" si="8"/>
        <v>0</v>
      </c>
      <c r="C262" s="16">
        <f t="shared" si="9"/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 s="37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</row>
    <row r="263" spans="1:51" hidden="1" outlineLevel="1">
      <c r="A263" s="5" t="s">
        <v>368</v>
      </c>
      <c r="B263" s="15">
        <f t="shared" si="8"/>
        <v>0</v>
      </c>
      <c r="C263" s="16">
        <f t="shared" si="9"/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 s="37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</row>
    <row r="264" spans="1:51" hidden="1" outlineLevel="1">
      <c r="A264" s="5" t="s">
        <v>369</v>
      </c>
      <c r="B264" s="15">
        <f t="shared" si="8"/>
        <v>0</v>
      </c>
      <c r="C264" s="16">
        <f t="shared" si="9"/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s="37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</row>
    <row r="265" spans="1:51" hidden="1" outlineLevel="1">
      <c r="A265" s="5" t="s">
        <v>370</v>
      </c>
      <c r="B265" s="15">
        <f t="shared" si="8"/>
        <v>0</v>
      </c>
      <c r="C265" s="16">
        <f t="shared" si="9"/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 s="37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</row>
    <row r="266" spans="1:51" hidden="1" outlineLevel="1">
      <c r="A266" s="5" t="s">
        <v>371</v>
      </c>
      <c r="B266" s="15">
        <f t="shared" si="8"/>
        <v>0</v>
      </c>
      <c r="C266" s="16">
        <f t="shared" si="9"/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s="37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</row>
    <row r="267" spans="1:51" hidden="1" outlineLevel="1">
      <c r="A267" s="5" t="s">
        <v>372</v>
      </c>
      <c r="B267" s="15">
        <f t="shared" si="8"/>
        <v>0</v>
      </c>
      <c r="C267" s="16">
        <f t="shared" si="9"/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s="3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</row>
    <row r="268" spans="1:51" hidden="1" outlineLevel="1">
      <c r="A268" s="5" t="s">
        <v>373</v>
      </c>
      <c r="B268" s="15">
        <f t="shared" si="8"/>
        <v>0</v>
      </c>
      <c r="C268" s="16">
        <f t="shared" si="9"/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 s="37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</row>
    <row r="269" spans="1:51" hidden="1" outlineLevel="1">
      <c r="A269" s="5" t="s">
        <v>374</v>
      </c>
      <c r="B269" s="15">
        <f t="shared" si="8"/>
        <v>0</v>
      </c>
      <c r="C269" s="16">
        <f t="shared" si="9"/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s="37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</row>
    <row r="270" spans="1:51" hidden="1" outlineLevel="1">
      <c r="A270" s="5" t="s">
        <v>375</v>
      </c>
      <c r="B270" s="15">
        <f t="shared" si="8"/>
        <v>0</v>
      </c>
      <c r="C270" s="16">
        <f t="shared" si="9"/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s="37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</row>
    <row r="271" spans="1:51" hidden="1" outlineLevel="1">
      <c r="A271" s="5" t="s">
        <v>376</v>
      </c>
      <c r="B271" s="15">
        <f t="shared" si="8"/>
        <v>0</v>
      </c>
      <c r="C271" s="16">
        <f t="shared" si="9"/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 s="37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</row>
    <row r="272" spans="1:51" hidden="1" outlineLevel="1">
      <c r="A272" s="5" t="s">
        <v>377</v>
      </c>
      <c r="B272" s="15">
        <f t="shared" si="8"/>
        <v>0</v>
      </c>
      <c r="C272" s="16">
        <f t="shared" si="9"/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s="37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</row>
    <row r="273" spans="1:51" hidden="1" outlineLevel="1">
      <c r="A273" s="5" t="s">
        <v>378</v>
      </c>
      <c r="B273" s="15">
        <f t="shared" si="8"/>
        <v>0</v>
      </c>
      <c r="C273" s="16">
        <f t="shared" si="9"/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s="37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</row>
    <row r="274" spans="1:51" hidden="1" outlineLevel="1">
      <c r="A274" s="5" t="s">
        <v>379</v>
      </c>
      <c r="B274" s="15">
        <f t="shared" si="8"/>
        <v>0</v>
      </c>
      <c r="C274" s="16">
        <f t="shared" si="9"/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s="37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</row>
    <row r="275" spans="1:51" hidden="1" outlineLevel="1">
      <c r="A275" s="5" t="s">
        <v>380</v>
      </c>
      <c r="B275" s="15">
        <f t="shared" si="8"/>
        <v>0</v>
      </c>
      <c r="C275" s="16">
        <f t="shared" si="9"/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s="37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</row>
    <row r="276" spans="1:51" hidden="1" outlineLevel="1">
      <c r="A276" s="5" t="s">
        <v>381</v>
      </c>
      <c r="B276" s="15">
        <f t="shared" si="8"/>
        <v>0</v>
      </c>
      <c r="C276" s="16">
        <f t="shared" si="9"/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 s="37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</row>
    <row r="277" spans="1:51" hidden="1" outlineLevel="1">
      <c r="A277" s="5" t="s">
        <v>382</v>
      </c>
      <c r="B277" s="15">
        <f t="shared" si="8"/>
        <v>0</v>
      </c>
      <c r="C277" s="16">
        <f t="shared" si="9"/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s="3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</row>
    <row r="278" spans="1:51" s="34" customFormat="1" ht="20.25" collapsed="1">
      <c r="A278" s="31" t="s">
        <v>389</v>
      </c>
      <c r="B278" s="32"/>
      <c r="C278" s="33">
        <f t="shared" si="9"/>
        <v>7.1489361702127656</v>
      </c>
      <c r="D278" s="34">
        <v>8</v>
      </c>
      <c r="E278" s="34">
        <v>7</v>
      </c>
      <c r="F278" s="34">
        <v>5</v>
      </c>
      <c r="G278" s="34">
        <v>17</v>
      </c>
      <c r="H278" s="34">
        <v>11</v>
      </c>
      <c r="I278" s="36">
        <v>5</v>
      </c>
      <c r="J278" s="34">
        <v>6</v>
      </c>
      <c r="K278" s="34">
        <v>6</v>
      </c>
      <c r="L278" s="34">
        <v>5</v>
      </c>
      <c r="M278" s="34">
        <v>8</v>
      </c>
      <c r="N278" s="34">
        <v>4</v>
      </c>
      <c r="O278" s="34">
        <v>6</v>
      </c>
      <c r="P278" s="34">
        <v>7</v>
      </c>
      <c r="Q278" s="34">
        <v>5</v>
      </c>
      <c r="R278" s="34">
        <v>6</v>
      </c>
      <c r="S278" s="34">
        <v>13</v>
      </c>
      <c r="U278" s="34">
        <v>6</v>
      </c>
      <c r="V278" s="34">
        <v>9</v>
      </c>
      <c r="W278" s="34">
        <v>6</v>
      </c>
      <c r="X278" s="34">
        <v>14</v>
      </c>
      <c r="Y278" s="34">
        <v>6</v>
      </c>
      <c r="Z278" s="34">
        <v>10</v>
      </c>
      <c r="AA278" s="34">
        <v>7</v>
      </c>
      <c r="AB278" s="34">
        <v>6</v>
      </c>
      <c r="AC278" s="34">
        <v>11</v>
      </c>
      <c r="AD278" s="34">
        <v>6</v>
      </c>
      <c r="AE278" s="34">
        <v>5</v>
      </c>
      <c r="AF278" s="34">
        <v>5</v>
      </c>
      <c r="AG278" s="34">
        <v>6</v>
      </c>
      <c r="AH278" s="34">
        <v>8</v>
      </c>
      <c r="AI278" s="34">
        <v>6</v>
      </c>
      <c r="AJ278" s="34">
        <v>3</v>
      </c>
      <c r="AK278" s="34">
        <v>4</v>
      </c>
      <c r="AL278" s="34">
        <v>9</v>
      </c>
      <c r="AM278" s="34">
        <v>6</v>
      </c>
      <c r="AN278" s="34">
        <v>16</v>
      </c>
      <c r="AO278" s="34">
        <v>8</v>
      </c>
      <c r="AP278" s="34">
        <v>7</v>
      </c>
      <c r="AQ278" s="34">
        <v>5</v>
      </c>
      <c r="AR278" s="34">
        <v>11</v>
      </c>
      <c r="AS278" s="34">
        <v>5</v>
      </c>
      <c r="AT278" s="34">
        <v>5</v>
      </c>
      <c r="AU278" s="34">
        <v>6</v>
      </c>
      <c r="AV278" s="34">
        <v>4</v>
      </c>
      <c r="AW278" s="34">
        <v>9</v>
      </c>
      <c r="AX278" s="34">
        <v>4</v>
      </c>
      <c r="AY278" s="34">
        <v>4</v>
      </c>
    </row>
    <row r="279" spans="1:51" s="29" customFormat="1" ht="19.5">
      <c r="A279" s="28" t="s">
        <v>388</v>
      </c>
      <c r="B279" s="26">
        <f t="shared" ref="B279:C279" si="10">SUM(B2,B13,B19,B31,B69,B104,B180,B195,B233,B247)</f>
        <v>2335</v>
      </c>
      <c r="C279" s="26">
        <f t="shared" si="10"/>
        <v>48.645833333333329</v>
      </c>
      <c r="D279" s="26">
        <f>SUM(D2,D13,D19,D31,D69,D104,D180,D195,D233,D247)</f>
        <v>199</v>
      </c>
      <c r="E279" s="26">
        <f>SUM(E2,E13,E19,E31,E69,E104,E180,E195,E233,E247)</f>
        <v>139</v>
      </c>
      <c r="F279" s="26">
        <f>SUM(F2,F13,F19,F31,F69,F104,F180,F195,F233,F247)</f>
        <v>130</v>
      </c>
      <c r="G279" s="26">
        <f>SUM(G2,G13,G19,G31,G69,G104,G180,G195,G233,G247)</f>
        <v>110</v>
      </c>
      <c r="H279" s="26">
        <f>SUM(H2,H13,H19,H31,H69,H104,H180,H195,H233,H247)</f>
        <v>108</v>
      </c>
      <c r="I279" s="26">
        <f>SUM(I2,I13,I19,I31,I69,I104,I180,I195,I233,I247)</f>
        <v>107</v>
      </c>
      <c r="J279" s="26">
        <f>SUM(J2,J13,J19,J31,J69,J104,J180,J195,J233,J247)</f>
        <v>105</v>
      </c>
      <c r="K279" s="26">
        <f>SUM(K2,K13,K19,K31,K69,K104,K180,K195,K233,K247)</f>
        <v>104</v>
      </c>
      <c r="L279" s="26">
        <f>SUM(L2,L13,L19,L31,L69,L104,L180,L195,L233,L247)</f>
        <v>102</v>
      </c>
      <c r="M279" s="26">
        <f>SUM(M2,M13,M19,M31,M69,M104,M180,M195,M233,M247)</f>
        <v>96</v>
      </c>
      <c r="N279" s="26">
        <f>SUM(N2,N13,N19,N31,N69,N104,N180,N195,N233,N247)</f>
        <v>96</v>
      </c>
      <c r="O279" s="26">
        <f>SUM(O2,O13,O19,O31,O69,O104,O180,O195,O233,O247)</f>
        <v>82</v>
      </c>
      <c r="P279" s="26">
        <f>SUM(P2,P13,P19,P31,P69,P104,P180,P195,P233,P247)</f>
        <v>75</v>
      </c>
      <c r="Q279" s="26">
        <f>SUM(Q2,Q13,Q19,Q31,Q69,Q104,Q180,Q195,Q233,Q247)</f>
        <v>67</v>
      </c>
      <c r="R279" s="26">
        <f>SUM(R2,R13,R19,R31,R69,R104,R180,R195,R233,R247)</f>
        <v>58</v>
      </c>
      <c r="S279" s="26">
        <f>SUM(S2,S13,S19,S31,S69,S104,S180,S195,S233,S247)</f>
        <v>55</v>
      </c>
      <c r="T279" s="26">
        <f>SUM(T2,T13,T19,T31,T69,T104,T180,T195,T233,T247)</f>
        <v>53</v>
      </c>
      <c r="U279" s="26">
        <f>SUM(U2,U13,U19,U31,U69,U104,U180,U195,U233,U247)</f>
        <v>52</v>
      </c>
      <c r="V279" s="26">
        <f>SUM(V2,V13,V19,V31,V69,V104,V180,V195,V233,V247)</f>
        <v>39</v>
      </c>
      <c r="W279" s="26">
        <f>SUM(W2,W13,W19,W31,W69,W104,W180,W195,W233,W247)</f>
        <v>38</v>
      </c>
      <c r="X279" s="26">
        <f>SUM(X2,X13,X19,X31,X69,X104,X180,X195,X233,X247)</f>
        <v>36</v>
      </c>
      <c r="Y279" s="26">
        <f>SUM(Y2,Y13,Y19,Y31,Y69,Y104,Y180,Y195,Y233,Y247)</f>
        <v>36</v>
      </c>
      <c r="Z279" s="26">
        <f>SUM(Z2,Z13,Z19,Z31,Z69,Z104,Z180,Z195,Z233,Z247)</f>
        <v>35</v>
      </c>
      <c r="AA279" s="26">
        <f>SUM(AA2,AA13,AA19,AA31,AA69,AA104,AA180,AA195,AA233,AA247)</f>
        <v>34</v>
      </c>
      <c r="AB279" s="26">
        <f>SUM(AB2,AB13,AB19,AB31,AB69,AB104,AB180,AB195,AB233,AB247)</f>
        <v>34</v>
      </c>
      <c r="AC279" s="26">
        <f>SUM(AC2,AC13,AC19,AC31,AC69,AC104,AC180,AC195,AC233,AC247)</f>
        <v>33</v>
      </c>
      <c r="AD279" s="26">
        <f>SUM(AD2,AD13,AD19,AD31,AD69,AD104,AD180,AD195,AD233,AD247)</f>
        <v>32</v>
      </c>
      <c r="AE279" s="26">
        <f>SUM(AE2,AE13,AE19,AE31,AE69,AE104,AE180,AE195,AE233,AE247)</f>
        <v>32</v>
      </c>
      <c r="AF279" s="26">
        <f>SUM(AF2,AF13,AF19,AF31,AF69,AF104,AF180,AF195,AF233,AF247)</f>
        <v>31</v>
      </c>
      <c r="AG279" s="26">
        <f>SUM(AG2,AG13,AG19,AG31,AG69,AG104,AG180,AG195,AG233,AG247)</f>
        <v>26</v>
      </c>
      <c r="AH279" s="26">
        <f>SUM(AH2,AH13,AH19,AH31,AH69,AH104,AH180,AH195,AH233,AH247)</f>
        <v>22</v>
      </c>
      <c r="AI279" s="26">
        <f>SUM(AI2,AI13,AI19,AI31,AI69,AI104,AI180,AI195,AI233,AI247)</f>
        <v>20</v>
      </c>
      <c r="AJ279" s="26">
        <f>SUM(AJ2,AJ13,AJ19,AJ31,AJ69,AJ104,AJ180,AJ195,AJ233,AJ247)</f>
        <v>18</v>
      </c>
      <c r="AK279" s="26">
        <f>SUM(AK2,AK13,AK19,AK31,AK69,AK104,AK180,AK195,AK233,AK247)</f>
        <v>16</v>
      </c>
      <c r="AL279" s="26">
        <f>SUM(AL2,AL13,AL19,AL31,AL69,AL104,AL180,AL195,AL233,AL247)</f>
        <v>13</v>
      </c>
      <c r="AM279" s="26">
        <f>SUM(AM2,AM13,AM19,AM31,AM69,AM104,AM180,AM195,AM233,AM247)</f>
        <v>13</v>
      </c>
      <c r="AN279" s="26">
        <f>SUM(AN2,AN13,AN19,AN31,AN69,AN104,AN180,AN195,AN233,AN247)</f>
        <v>12</v>
      </c>
      <c r="AO279" s="26">
        <f>SUM(AO2,AO13,AO19,AO31,AO69,AO104,AO180,AO195,AO233,AO247)</f>
        <v>12</v>
      </c>
      <c r="AP279" s="26">
        <f>SUM(AP2,AP13,AP19,AP31,AP69,AP104,AP180,AP195,AP233,AP247)</f>
        <v>11</v>
      </c>
      <c r="AQ279" s="26">
        <f>SUM(AQ2,AQ13,AQ19,AQ31,AQ69,AQ104,AQ180,AQ195,AQ233,AQ247)</f>
        <v>11</v>
      </c>
      <c r="AR279" s="26">
        <f>SUM(AR2,AR13,AR19,AR31,AR69,AR104,AR180,AR195,AR233,AR247)</f>
        <v>10</v>
      </c>
      <c r="AS279" s="26">
        <f>SUM(AS2,AS13,AS19,AS31,AS69,AS104,AS180,AS195,AS233,AS247)</f>
        <v>8</v>
      </c>
      <c r="AT279" s="26">
        <f>SUM(AT2,AT13,AT19,AT31,AT69,AT104,AT180,AT195,AT233,AT247)</f>
        <v>8</v>
      </c>
      <c r="AU279" s="26">
        <f>SUM(AU2,AU13,AU19,AU31,AU69,AU104,AU180,AU195,AU233,AU247)</f>
        <v>7</v>
      </c>
      <c r="AV279" s="26">
        <f>SUM(AV2,AV13,AV19,AV31,AV69,AV104,AV180,AV195,AV233,AV247)</f>
        <v>5</v>
      </c>
      <c r="AW279" s="26">
        <f>SUM(AW2,AW13,AW19,AW31,AW69,AW104,AW180,AW195,AW233,AW247)</f>
        <v>2</v>
      </c>
      <c r="AX279" s="26">
        <f>SUM(AX2,AX13,AX19,AX31,AX69,AX104,AX180,AX195,AX233,AX247)</f>
        <v>2</v>
      </c>
      <c r="AY279" s="26">
        <f>SUM(AY2,AY13,AY19,AY31,AY69,AY104,AY180,AY195,AY233,AY247)</f>
        <v>1</v>
      </c>
    </row>
    <row r="280" spans="1:51" s="29" customFormat="1" ht="19.5">
      <c r="A280" s="28"/>
      <c r="B280" s="26"/>
      <c r="C280" s="26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</row>
  </sheetData>
  <sortState columnSort="1" ref="D1:AY279">
    <sortCondition descending="1" ref="D279:AY279"/>
  </sortState>
  <dataConsolidate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1]!IC정렬">
                <anchor moveWithCells="1" sizeWithCells="1">
                  <from>
                    <xdr:col>0</xdr:col>
                    <xdr:colOff>714375</xdr:colOff>
                    <xdr:row>2</xdr:row>
                    <xdr:rowOff>0</xdr:rowOff>
                  </from>
                  <to>
                    <xdr:col>1</xdr:col>
                    <xdr:colOff>9525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NC정렬">
                <anchor moveWithCells="1" sizeWithCells="1">
                  <from>
                    <xdr:col>0</xdr:col>
                    <xdr:colOff>723900</xdr:colOff>
                    <xdr:row>12</xdr:row>
                    <xdr:rowOff>228600</xdr:rowOff>
                  </from>
                  <to>
                    <xdr:col>0</xdr:col>
                    <xdr:colOff>1323975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1]!CC정렬">
                <anchor moveWithCells="1" sizeWithCells="1">
                  <from>
                    <xdr:col>0</xdr:col>
                    <xdr:colOff>762000</xdr:colOff>
                    <xdr:row>19</xdr:row>
                    <xdr:rowOff>9525</xdr:rowOff>
                  </from>
                  <to>
                    <xdr:col>1</xdr:col>
                    <xdr:colOff>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1]!WC정렬">
                <anchor moveWithCells="1" sizeWithCells="1">
                  <from>
                    <xdr:col>0</xdr:col>
                    <xdr:colOff>762000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1]!CF정렬">
                <anchor moveWithCells="1" sizeWithCells="1">
                  <from>
                    <xdr:col>0</xdr:col>
                    <xdr:colOff>733425</xdr:colOff>
                    <xdr:row>69</xdr:row>
                    <xdr:rowOff>0</xdr:rowOff>
                  </from>
                  <to>
                    <xdr:col>1</xdr:col>
                    <xdr:colOff>0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1]!CP정렬">
                <anchor moveWithCells="1" sizeWithCells="1">
                  <from>
                    <xdr:col>0</xdr:col>
                    <xdr:colOff>723900</xdr:colOff>
                    <xdr:row>104</xdr:row>
                    <xdr:rowOff>0</xdr:rowOff>
                  </from>
                  <to>
                    <xdr:col>0</xdr:col>
                    <xdr:colOff>1323975</xdr:colOff>
                    <xdr:row>105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1]!F정렬">
                <anchor moveWithCells="1" sizeWithCells="1">
                  <from>
                    <xdr:col>0</xdr:col>
                    <xdr:colOff>790575</xdr:colOff>
                    <xdr:row>179</xdr:row>
                    <xdr:rowOff>228600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1]!C정렬">
                <anchor moveWithCells="1" sizeWithCells="1">
                  <from>
                    <xdr:col>0</xdr:col>
                    <xdr:colOff>733425</xdr:colOff>
                    <xdr:row>195</xdr:row>
                    <xdr:rowOff>0</xdr:rowOff>
                  </from>
                  <to>
                    <xdr:col>0</xdr:col>
                    <xdr:colOff>1323975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Button 10">
              <controlPr defaultSize="0" print="0" autoFill="0" autoPict="0" macro="[1]!M정렬">
                <anchor moveWithCells="1" sizeWithCells="1">
                  <from>
                    <xdr:col>0</xdr:col>
                    <xdr:colOff>742950</xdr:colOff>
                    <xdr:row>233</xdr:row>
                    <xdr:rowOff>0</xdr:rowOff>
                  </from>
                  <to>
                    <xdr:col>0</xdr:col>
                    <xdr:colOff>1323975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Button 11">
              <controlPr defaultSize="0" print="0" autoFill="0" autoPict="0" macro="[1]!E정렬">
                <anchor moveWithCells="1" sizeWithCells="1">
                  <from>
                    <xdr:col>0</xdr:col>
                    <xdr:colOff>790575</xdr:colOff>
                    <xdr:row>247</xdr:row>
                    <xdr:rowOff>0</xdr:rowOff>
                  </from>
                  <to>
                    <xdr:col>0</xdr:col>
                    <xdr:colOff>1323975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1]!T정렬">
                <anchor moveWithCells="1" sizeWithCells="1">
                  <from>
                    <xdr:col>0</xdr:col>
                    <xdr:colOff>762000</xdr:colOff>
                    <xdr:row>279</xdr:row>
                    <xdr:rowOff>0</xdr:rowOff>
                  </from>
                  <to>
                    <xdr:col>0</xdr:col>
                    <xdr:colOff>1323975</xdr:colOff>
                    <xdr:row>280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1]!COMPLEXITY">
                <anchor moveWithCells="1" sizeWithCells="1">
                  <from>
                    <xdr:col>0</xdr:col>
                    <xdr:colOff>9525</xdr:colOff>
                    <xdr:row>279</xdr:row>
                    <xdr:rowOff>0</xdr:rowOff>
                  </from>
                  <to>
                    <xdr:col>0</xdr:col>
                    <xdr:colOff>542925</xdr:colOff>
                    <xdr:row>280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17" sqref="L17"/>
    </sheetView>
  </sheetViews>
  <sheetFormatPr defaultRowHeight="16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전체</vt:lpstr>
      <vt:lpstr>Sheet1</vt:lpstr>
      <vt:lpstr>Sheet1 (2)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SMK</dc:creator>
  <cp:lastModifiedBy>gclab</cp:lastModifiedBy>
  <cp:lastPrinted>2017-04-14T06:05:27Z</cp:lastPrinted>
  <dcterms:created xsi:type="dcterms:W3CDTF">2017-04-09T16:43:03Z</dcterms:created>
  <dcterms:modified xsi:type="dcterms:W3CDTF">2017-05-22T05:44:50Z</dcterms:modified>
</cp:coreProperties>
</file>